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neem Meo\Downloads\"/>
    </mc:Choice>
  </mc:AlternateContent>
  <xr:revisionPtr revIDLastSave="0" documentId="13_ncr:1_{804CA376-13AE-409A-A5DF-5A8D0C0EC771}" xr6:coauthVersionLast="36" xr6:coauthVersionMax="36" xr10:uidLastSave="{00000000-0000-0000-0000-000000000000}"/>
  <bookViews>
    <workbookView xWindow="0" yWindow="0" windowWidth="19200" windowHeight="6810" xr2:uid="{5F13E190-1B77-417A-86F9-F64017B3F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0" i="1" l="1"/>
  <c r="M81" i="1"/>
  <c r="M82" i="1"/>
  <c r="M83" i="1"/>
  <c r="M84" i="1"/>
  <c r="M85" i="1"/>
  <c r="M86" i="1"/>
  <c r="M87" i="1"/>
  <c r="M88" i="1"/>
  <c r="M89" i="1"/>
  <c r="M90" i="1"/>
  <c r="M91" i="1"/>
  <c r="M92" i="1"/>
  <c r="M79" i="1"/>
  <c r="M78" i="1"/>
  <c r="M71" i="1" l="1"/>
  <c r="M36" i="1"/>
  <c r="M18" i="1"/>
  <c r="M19" i="1"/>
  <c r="M6" i="1"/>
  <c r="M5" i="1"/>
  <c r="M2" i="1"/>
  <c r="M3" i="1"/>
  <c r="M4" i="1"/>
  <c r="M7" i="1"/>
  <c r="M10" i="1"/>
  <c r="M11" i="1"/>
  <c r="M12" i="1"/>
  <c r="M13" i="1"/>
  <c r="M14" i="1"/>
  <c r="M15" i="1"/>
  <c r="M16" i="1"/>
  <c r="M17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2" i="1"/>
  <c r="M73" i="1"/>
  <c r="M74" i="1"/>
  <c r="M75" i="1"/>
  <c r="M76" i="1"/>
  <c r="M77" i="1"/>
  <c r="M8" i="1"/>
  <c r="M9" i="1"/>
</calcChain>
</file>

<file path=xl/sharedStrings.xml><?xml version="1.0" encoding="utf-8"?>
<sst xmlns="http://schemas.openxmlformats.org/spreadsheetml/2006/main" count="742" uniqueCount="210">
  <si>
    <t>City</t>
  </si>
  <si>
    <t>Rating</t>
  </si>
  <si>
    <t>Estimated Total</t>
  </si>
  <si>
    <t>Islamabad</t>
  </si>
  <si>
    <t>Lahore</t>
  </si>
  <si>
    <t>Peshawar</t>
  </si>
  <si>
    <t>Karachi</t>
  </si>
  <si>
    <t>Region</t>
  </si>
  <si>
    <t>North</t>
  </si>
  <si>
    <t>Adventure</t>
  </si>
  <si>
    <t>Cultural</t>
  </si>
  <si>
    <t>Luxury</t>
  </si>
  <si>
    <t>Center</t>
  </si>
  <si>
    <t>Swat</t>
  </si>
  <si>
    <t>Hunza Valley</t>
  </si>
  <si>
    <t>Grand Islamabad Hotel</t>
  </si>
  <si>
    <t>Hotel_id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</si>
  <si>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</si>
  <si>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</si>
  <si>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</si>
  <si>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</si>
  <si>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</si>
  <si>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</si>
  <si>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</si>
  <si>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</si>
  <si>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</si>
  <si>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</si>
  <si>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</si>
  <si>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</si>
  <si>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</si>
  <si>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</si>
  <si>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</si>
  <si>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</si>
  <si>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</si>
  <si>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</si>
  <si>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</si>
  <si>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</si>
  <si>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</si>
  <si>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</si>
  <si>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</si>
  <si>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</si>
  <si>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</si>
  <si>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</si>
  <si>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</si>
  <si>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</si>
  <si>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</si>
  <si>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</si>
  <si>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</si>
  <si>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</si>
  <si>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</si>
  <si>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</si>
  <si>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</si>
  <si>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</si>
  <si>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</si>
  <si>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</si>
  <si>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</si>
  <si>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</si>
  <si>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</si>
  <si>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</si>
  <si>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</si>
  <si>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</si>
  <si>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</si>
  <si>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</si>
  <si>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</si>
  <si>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</si>
  <si>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</si>
  <si>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</si>
  <si>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</si>
  <si>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</si>
  <si>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</si>
  <si>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</si>
  <si>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</si>
  <si>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</si>
  <si>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</si>
  <si>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</si>
  <si>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</si>
  <si>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</si>
  <si>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</si>
  <si>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</si>
  <si>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</si>
  <si>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</si>
  <si>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</si>
  <si>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</si>
  <si>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</si>
  <si>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</si>
  <si>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</si>
  <si>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</si>
  <si>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</si>
  <si>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</si>
  <si>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</si>
  <si>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</si>
  <si>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</si>
  <si>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</si>
  <si>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Hotel_Name</t>
  </si>
  <si>
    <t>Review_Count</t>
  </si>
  <si>
    <t>Amenities</t>
  </si>
  <si>
    <t>Budget/Backpacker</t>
  </si>
  <si>
    <t>Standard</t>
  </si>
  <si>
    <t>4.3/5</t>
  </si>
  <si>
    <t xml:space="preserve">Grand Islamabad Hotel </t>
  </si>
  <si>
    <t>Sada Bahar Hotel Barakahu</t>
  </si>
  <si>
    <t>5.0/5</t>
  </si>
  <si>
    <t>The Townhouse Hotel</t>
  </si>
  <si>
    <t>4.4/5</t>
  </si>
  <si>
    <t>Islamabad Serena Hotel</t>
  </si>
  <si>
    <t>4.5/5</t>
  </si>
  <si>
    <t>Islamabad Marriott Hotel</t>
  </si>
  <si>
    <t>4.6/5</t>
  </si>
  <si>
    <t>Taj Hotel Suites</t>
  </si>
  <si>
    <t>4.8/5</t>
  </si>
  <si>
    <t>Heritage Inn Guest House</t>
  </si>
  <si>
    <t>Elysium Tower Residency</t>
  </si>
  <si>
    <t>Aspire Lodge, G11 Islamabad</t>
  </si>
  <si>
    <t>4.9/5</t>
  </si>
  <si>
    <t>Hotel California Islamabad</t>
  </si>
  <si>
    <t>Shelton Hotel Gulberg</t>
  </si>
  <si>
    <t>4.1/5</t>
  </si>
  <si>
    <t>Gold Pine Hotel Mall Road</t>
  </si>
  <si>
    <t>Gulberg Residency Hotel</t>
  </si>
  <si>
    <t>Panormic Hotel</t>
  </si>
  <si>
    <t>Hotel One, Gulberg</t>
  </si>
  <si>
    <t>Pearl Continential Hotel</t>
  </si>
  <si>
    <t>Luxus Grand Hotel</t>
  </si>
  <si>
    <t>Grand Enclave hotel</t>
  </si>
  <si>
    <t>4.0/5</t>
  </si>
  <si>
    <t>Avari Express Gulberg</t>
  </si>
  <si>
    <t>Taj Palace Hotel</t>
  </si>
  <si>
    <t>3.9/5</t>
  </si>
  <si>
    <t>Heritage Luxury Suite</t>
  </si>
  <si>
    <t>Royal Swiss Hotel</t>
  </si>
  <si>
    <t>Nishat Hotel</t>
  </si>
  <si>
    <t>4.2/5</t>
  </si>
  <si>
    <t>Hotel Mehran</t>
  </si>
  <si>
    <t>Beach Luxury Hotel</t>
  </si>
  <si>
    <t>Hotel Crown Inn</t>
  </si>
  <si>
    <t>3.8/5</t>
  </si>
  <si>
    <t>Dream World Resort</t>
  </si>
  <si>
    <t>Jinnah Avenue Inn</t>
  </si>
  <si>
    <t>Hotel Excelsior Karachi</t>
  </si>
  <si>
    <t>Peshawar Serena Hotel</t>
  </si>
  <si>
    <t>Shelton Rezidor</t>
  </si>
  <si>
    <t>Royal Executive Inn</t>
  </si>
  <si>
    <t>Crown Castle Hotel</t>
  </si>
  <si>
    <t>Fort Continental Hotel</t>
  </si>
  <si>
    <t>Shelton Guest House</t>
  </si>
  <si>
    <t>Gilgit</t>
  </si>
  <si>
    <t>Riverdale Resort Gilgit</t>
  </si>
  <si>
    <t>Heaven Lodge</t>
  </si>
  <si>
    <t>Ramada Resort by Wyndham Gilgit</t>
  </si>
  <si>
    <t xml:space="preserve">Indus Lodges </t>
  </si>
  <si>
    <t>Gilgit Serena</t>
  </si>
  <si>
    <t>CountrySide Resort Gilgit</t>
  </si>
  <si>
    <t>Best Western Premier Hunza</t>
  </si>
  <si>
    <t>Koh-e-Qaf Hunza</t>
  </si>
  <si>
    <t>Serena Altit Fort Residence</t>
  </si>
  <si>
    <t>Old Hunza Inn</t>
  </si>
  <si>
    <t>Mulberry Hotel Hunza</t>
  </si>
  <si>
    <t>Razhek</t>
  </si>
  <si>
    <t>Shaheen Resort Hunza</t>
  </si>
  <si>
    <t>4.7/5</t>
  </si>
  <si>
    <t>Forest Valley Cottages</t>
  </si>
  <si>
    <t>Vallaha Resort Kumrat</t>
  </si>
  <si>
    <t>Secret Garden Kalam</t>
  </si>
  <si>
    <t>River Breeze Family Hotel</t>
  </si>
  <si>
    <t>Walnut Heights by Roomy</t>
  </si>
  <si>
    <t>Lemar Hotel &amp; Resorts by Northin Kalam</t>
  </si>
  <si>
    <t>Estimated Price/Day</t>
  </si>
  <si>
    <t>Day</t>
  </si>
  <si>
    <t>Travel_Theme</t>
  </si>
  <si>
    <t>Star_Hotel</t>
  </si>
  <si>
    <t>Max_Guests</t>
  </si>
  <si>
    <t>Pearl Continental Hotel</t>
  </si>
  <si>
    <t>Panoramic Hotel</t>
  </si>
  <si>
    <t>Hotel_Type</t>
  </si>
  <si>
    <t>WiFi</t>
  </si>
  <si>
    <t>WiFi, Breakfast, Laundry, Airport Transport, Minibar, Swimming Pool, Fitness Center, Room Service</t>
  </si>
  <si>
    <t>WiFi, Breakfast, Laundry, Airport Transport, Room Service</t>
  </si>
  <si>
    <t>WiFi, Breakfast, Laundry, Room Service</t>
  </si>
  <si>
    <t>WiFi, Laundry, Room Service</t>
  </si>
  <si>
    <t>WiFi, Room Service</t>
  </si>
  <si>
    <t>WiFi, Breakfast, Room Service</t>
  </si>
  <si>
    <t>Ramada Resort by Wyndham Murree</t>
  </si>
  <si>
    <t>H077</t>
  </si>
  <si>
    <t>H078</t>
  </si>
  <si>
    <t>H079</t>
  </si>
  <si>
    <t>H080</t>
  </si>
  <si>
    <t>H081</t>
  </si>
  <si>
    <t>H082</t>
  </si>
  <si>
    <t>H084</t>
  </si>
  <si>
    <t>H085</t>
  </si>
  <si>
    <t>H086</t>
  </si>
  <si>
    <t>H087</t>
  </si>
  <si>
    <t>Murree</t>
  </si>
  <si>
    <t>Skardu</t>
  </si>
  <si>
    <t>On Cloud Resort</t>
  </si>
  <si>
    <t>Fiora Hotel Murree</t>
  </si>
  <si>
    <t>The Vibe by Ambience</t>
  </si>
  <si>
    <t>Pinemount Hotel Murree</t>
  </si>
  <si>
    <t>The Valley PentHouse</t>
  </si>
  <si>
    <t>H088</t>
  </si>
  <si>
    <t>H089</t>
  </si>
  <si>
    <t>H090</t>
  </si>
  <si>
    <t>PC Legacy Skardu</t>
  </si>
  <si>
    <t>Broq Resort HussainAbad</t>
  </si>
  <si>
    <t>Biafo Resort Skardu</t>
  </si>
  <si>
    <t>Oasis Resort Katpana Sakardu</t>
  </si>
  <si>
    <t>Arcadian Resort Skardu</t>
  </si>
  <si>
    <t>Vantage Lodge Skardu</t>
  </si>
  <si>
    <t>Safena Hotel Skardu</t>
  </si>
  <si>
    <t>H091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</si>
</sst>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PKR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" fontId="0" fillId="0" borderId="0" xfId="0" applyNumberFormat="1"/>
    <xf numFmtId="1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TargetMode="External"/><Relationship Id="rId2" Type="http://schemas.openxmlformats.org/officeDocument/2006/relationships/hyperlink" Target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TargetMode="External"/><Relationship Id="rId1" Type="http://schemas.openxmlformats.org/officeDocument/2006/relationships/hyperlink" Target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5555-EFC1-48A6-A0E9-263DDF52BF86}">
  <dimension ref="A1:N92"/>
  <sheetViews>
    <sheetView tabSelected="1" zoomScale="45" zoomScaleNormal="45" workbookViewId="0">
      <selection activeCell="I26" sqref="I26"/>
    </sheetView>
  </sheetViews>
  <sheetFormatPr defaultRowHeight="14.5" x14ac:dyDescent="0.35"/>
  <cols>
    <col min="3" max="4" width="22.36328125" customWidth="1"/>
    <col min="5" max="5" width="33.6328125" customWidth="1"/>
    <col min="6" max="6" width="23.90625" customWidth="1"/>
    <col min="7" max="7" width="11.6328125" customWidth="1"/>
    <col min="8" max="10" width="18.36328125" customWidth="1"/>
    <col min="11" max="12" width="19.7265625" customWidth="1"/>
    <col min="13" max="13" width="14.81640625" customWidth="1"/>
    <col min="14" max="14" width="85.54296875" customWidth="1"/>
  </cols>
  <sheetData>
    <row r="1" spans="1:14" s="4" customFormat="1" x14ac:dyDescent="0.35">
      <c r="A1" s="4" t="s">
        <v>16</v>
      </c>
      <c r="B1" s="4" t="s">
        <v>7</v>
      </c>
      <c r="C1" s="4" t="s">
        <v>0</v>
      </c>
      <c r="D1" s="4" t="s">
        <v>168</v>
      </c>
      <c r="E1" s="4" t="s">
        <v>93</v>
      </c>
      <c r="F1" s="4" t="s">
        <v>173</v>
      </c>
      <c r="G1" s="4" t="s">
        <v>1</v>
      </c>
      <c r="H1" s="4" t="s">
        <v>94</v>
      </c>
      <c r="I1" s="4" t="s">
        <v>169</v>
      </c>
      <c r="J1" s="4" t="s">
        <v>170</v>
      </c>
      <c r="K1" s="4" t="s">
        <v>166</v>
      </c>
      <c r="L1" s="4" t="s">
        <v>167</v>
      </c>
      <c r="M1" s="4" t="s">
        <v>2</v>
      </c>
      <c r="N1" s="4" t="s">
        <v>95</v>
      </c>
    </row>
    <row r="2" spans="1:14" x14ac:dyDescent="0.35">
      <c r="A2" t="s">
        <v>17</v>
      </c>
      <c r="B2" t="s">
        <v>8</v>
      </c>
      <c r="C2" t="s">
        <v>3</v>
      </c>
      <c r="D2" t="s">
        <v>9</v>
      </c>
      <c r="E2" t="s">
        <v>104</v>
      </c>
      <c r="F2" t="s">
        <v>97</v>
      </c>
      <c r="G2" t="s">
        <v>105</v>
      </c>
      <c r="H2">
        <v>31000</v>
      </c>
      <c r="I2">
        <v>5</v>
      </c>
      <c r="J2">
        <v>2</v>
      </c>
      <c r="K2" s="1">
        <v>95028</v>
      </c>
      <c r="L2">
        <v>1</v>
      </c>
      <c r="M2">
        <f t="shared" ref="M2:M45" si="0">L2*K2</f>
        <v>95028</v>
      </c>
      <c r="N2" t="s">
        <v>175</v>
      </c>
    </row>
    <row r="3" spans="1:14" x14ac:dyDescent="0.35">
      <c r="A3" t="s">
        <v>18</v>
      </c>
      <c r="B3" t="s">
        <v>8</v>
      </c>
      <c r="C3" t="s">
        <v>3</v>
      </c>
      <c r="D3" t="s">
        <v>9</v>
      </c>
      <c r="E3" t="s">
        <v>104</v>
      </c>
      <c r="F3" t="s">
        <v>11</v>
      </c>
      <c r="G3" t="s">
        <v>105</v>
      </c>
      <c r="H3">
        <v>31000</v>
      </c>
      <c r="I3">
        <v>5</v>
      </c>
      <c r="J3">
        <v>2</v>
      </c>
      <c r="K3" s="1">
        <v>135468</v>
      </c>
      <c r="L3">
        <v>1</v>
      </c>
      <c r="M3">
        <f t="shared" si="0"/>
        <v>135468</v>
      </c>
      <c r="N3" t="s">
        <v>175</v>
      </c>
    </row>
    <row r="4" spans="1:14" x14ac:dyDescent="0.35">
      <c r="A4" t="s">
        <v>19</v>
      </c>
      <c r="B4" t="s">
        <v>8</v>
      </c>
      <c r="C4" t="s">
        <v>3</v>
      </c>
      <c r="D4" t="s">
        <v>9</v>
      </c>
      <c r="E4" t="s">
        <v>106</v>
      </c>
      <c r="F4" t="s">
        <v>97</v>
      </c>
      <c r="G4" t="s">
        <v>107</v>
      </c>
      <c r="H4">
        <v>26000</v>
      </c>
      <c r="I4">
        <v>5</v>
      </c>
      <c r="J4">
        <v>1</v>
      </c>
      <c r="K4" s="1">
        <v>55062</v>
      </c>
      <c r="L4">
        <v>1</v>
      </c>
      <c r="M4">
        <f t="shared" si="0"/>
        <v>55062</v>
      </c>
      <c r="N4" t="s">
        <v>175</v>
      </c>
    </row>
    <row r="5" spans="1:14" x14ac:dyDescent="0.35">
      <c r="A5" t="s">
        <v>20</v>
      </c>
      <c r="B5" t="s">
        <v>8</v>
      </c>
      <c r="C5" t="s">
        <v>3</v>
      </c>
      <c r="D5" t="s">
        <v>9</v>
      </c>
      <c r="E5" t="s">
        <v>106</v>
      </c>
      <c r="F5" t="s">
        <v>97</v>
      </c>
      <c r="G5" t="s">
        <v>107</v>
      </c>
      <c r="H5">
        <v>26000</v>
      </c>
      <c r="I5">
        <v>5</v>
      </c>
      <c r="J5">
        <v>2</v>
      </c>
      <c r="K5" s="1">
        <v>60797</v>
      </c>
      <c r="L5">
        <v>1</v>
      </c>
      <c r="M5">
        <f t="shared" ref="M5:M6" si="1">L5*K5</f>
        <v>60797</v>
      </c>
      <c r="N5" t="s">
        <v>175</v>
      </c>
    </row>
    <row r="6" spans="1:14" x14ac:dyDescent="0.35">
      <c r="A6" t="s">
        <v>21</v>
      </c>
      <c r="B6" t="s">
        <v>8</v>
      </c>
      <c r="C6" t="s">
        <v>3</v>
      </c>
      <c r="D6" t="s">
        <v>9</v>
      </c>
      <c r="E6" t="s">
        <v>106</v>
      </c>
      <c r="F6" t="s">
        <v>11</v>
      </c>
      <c r="G6" t="s">
        <v>107</v>
      </c>
      <c r="H6">
        <v>26000</v>
      </c>
      <c r="I6">
        <v>5</v>
      </c>
      <c r="J6">
        <v>1</v>
      </c>
      <c r="K6" s="1">
        <v>60797</v>
      </c>
      <c r="L6">
        <v>1</v>
      </c>
      <c r="M6">
        <f t="shared" si="1"/>
        <v>60797</v>
      </c>
      <c r="N6" t="s">
        <v>175</v>
      </c>
    </row>
    <row r="7" spans="1:14" x14ac:dyDescent="0.35">
      <c r="A7" t="s">
        <v>22</v>
      </c>
      <c r="B7" t="s">
        <v>8</v>
      </c>
      <c r="C7" t="s">
        <v>3</v>
      </c>
      <c r="D7" t="s">
        <v>9</v>
      </c>
      <c r="E7" t="s">
        <v>108</v>
      </c>
      <c r="F7" t="s">
        <v>97</v>
      </c>
      <c r="G7" t="s">
        <v>105</v>
      </c>
      <c r="H7">
        <v>166</v>
      </c>
      <c r="I7">
        <v>5</v>
      </c>
      <c r="J7">
        <v>2</v>
      </c>
      <c r="K7" s="1">
        <v>30400</v>
      </c>
      <c r="L7">
        <v>1</v>
      </c>
      <c r="M7">
        <f t="shared" si="0"/>
        <v>30400</v>
      </c>
      <c r="N7" t="s">
        <v>175</v>
      </c>
    </row>
    <row r="8" spans="1:14" x14ac:dyDescent="0.35">
      <c r="A8" t="s">
        <v>23</v>
      </c>
      <c r="B8" t="s">
        <v>8</v>
      </c>
      <c r="C8" t="s">
        <v>3</v>
      </c>
      <c r="D8" t="s">
        <v>9</v>
      </c>
      <c r="E8" t="s">
        <v>99</v>
      </c>
      <c r="F8" t="s">
        <v>96</v>
      </c>
      <c r="G8" t="s">
        <v>98</v>
      </c>
      <c r="H8">
        <v>2800</v>
      </c>
      <c r="I8">
        <v>3</v>
      </c>
      <c r="J8">
        <v>2</v>
      </c>
      <c r="K8" s="1">
        <v>18000</v>
      </c>
      <c r="L8">
        <v>1</v>
      </c>
      <c r="M8">
        <f t="shared" si="0"/>
        <v>18000</v>
      </c>
      <c r="N8" t="s">
        <v>174</v>
      </c>
    </row>
    <row r="9" spans="1:14" x14ac:dyDescent="0.35">
      <c r="A9" t="s">
        <v>24</v>
      </c>
      <c r="B9" t="s">
        <v>8</v>
      </c>
      <c r="C9" t="s">
        <v>3</v>
      </c>
      <c r="D9" t="s">
        <v>9</v>
      </c>
      <c r="E9" t="s">
        <v>15</v>
      </c>
      <c r="F9" t="s">
        <v>97</v>
      </c>
      <c r="G9" t="s">
        <v>98</v>
      </c>
      <c r="H9">
        <v>2800</v>
      </c>
      <c r="I9">
        <v>3</v>
      </c>
      <c r="J9">
        <v>2</v>
      </c>
      <c r="K9" s="1">
        <v>19200</v>
      </c>
      <c r="L9">
        <v>1</v>
      </c>
      <c r="M9">
        <f>L9*K9</f>
        <v>19200</v>
      </c>
      <c r="N9" t="s">
        <v>177</v>
      </c>
    </row>
    <row r="10" spans="1:14" x14ac:dyDescent="0.35">
      <c r="A10" t="s">
        <v>25</v>
      </c>
      <c r="B10" t="s">
        <v>8</v>
      </c>
      <c r="C10" t="s">
        <v>3</v>
      </c>
      <c r="D10" t="s">
        <v>9</v>
      </c>
      <c r="E10" t="s">
        <v>15</v>
      </c>
      <c r="F10" t="s">
        <v>97</v>
      </c>
      <c r="G10" t="s">
        <v>98</v>
      </c>
      <c r="H10">
        <v>2800</v>
      </c>
      <c r="I10">
        <v>3</v>
      </c>
      <c r="J10">
        <v>4</v>
      </c>
      <c r="K10" s="1">
        <v>24000</v>
      </c>
      <c r="L10">
        <v>1</v>
      </c>
      <c r="M10">
        <f t="shared" si="0"/>
        <v>24000</v>
      </c>
      <c r="N10" t="s">
        <v>177</v>
      </c>
    </row>
    <row r="11" spans="1:14" x14ac:dyDescent="0.35">
      <c r="A11" t="s">
        <v>26</v>
      </c>
      <c r="B11" t="s">
        <v>8</v>
      </c>
      <c r="C11" t="s">
        <v>3</v>
      </c>
      <c r="D11" t="s">
        <v>9</v>
      </c>
      <c r="E11" t="s">
        <v>99</v>
      </c>
      <c r="F11" t="s">
        <v>97</v>
      </c>
      <c r="G11" t="s">
        <v>98</v>
      </c>
      <c r="H11">
        <v>2800</v>
      </c>
      <c r="I11">
        <v>3</v>
      </c>
      <c r="J11">
        <v>3</v>
      </c>
      <c r="K11" s="1">
        <v>22800</v>
      </c>
      <c r="L11">
        <v>1</v>
      </c>
      <c r="M11">
        <f t="shared" si="0"/>
        <v>22800</v>
      </c>
      <c r="N11" t="s">
        <v>177</v>
      </c>
    </row>
    <row r="12" spans="1:14" x14ac:dyDescent="0.35">
      <c r="A12" t="s">
        <v>27</v>
      </c>
      <c r="B12" t="s">
        <v>8</v>
      </c>
      <c r="C12" t="s">
        <v>3</v>
      </c>
      <c r="D12" t="s">
        <v>9</v>
      </c>
      <c r="E12" t="s">
        <v>15</v>
      </c>
      <c r="F12" t="s">
        <v>11</v>
      </c>
      <c r="G12" t="s">
        <v>98</v>
      </c>
      <c r="H12">
        <v>2800</v>
      </c>
      <c r="I12">
        <v>3</v>
      </c>
      <c r="J12">
        <v>2</v>
      </c>
      <c r="K12" s="1">
        <v>24000</v>
      </c>
      <c r="L12">
        <v>1</v>
      </c>
      <c r="M12">
        <f t="shared" si="0"/>
        <v>24000</v>
      </c>
      <c r="N12" t="s">
        <v>177</v>
      </c>
    </row>
    <row r="13" spans="1:14" x14ac:dyDescent="0.35">
      <c r="A13" t="s">
        <v>28</v>
      </c>
      <c r="B13" t="s">
        <v>8</v>
      </c>
      <c r="C13" t="s">
        <v>3</v>
      </c>
      <c r="D13" t="s">
        <v>9</v>
      </c>
      <c r="E13" t="s">
        <v>100</v>
      </c>
      <c r="F13" t="s">
        <v>96</v>
      </c>
      <c r="G13" s="3" t="s">
        <v>101</v>
      </c>
      <c r="H13">
        <v>1</v>
      </c>
      <c r="I13">
        <v>1</v>
      </c>
      <c r="J13">
        <v>2</v>
      </c>
      <c r="K13" s="1">
        <v>2100</v>
      </c>
      <c r="L13">
        <v>1</v>
      </c>
      <c r="M13">
        <f t="shared" si="0"/>
        <v>2100</v>
      </c>
      <c r="N13" t="s">
        <v>174</v>
      </c>
    </row>
    <row r="14" spans="1:14" x14ac:dyDescent="0.35">
      <c r="A14" t="s">
        <v>29</v>
      </c>
      <c r="B14" t="s">
        <v>8</v>
      </c>
      <c r="C14" t="s">
        <v>3</v>
      </c>
      <c r="D14" t="s">
        <v>9</v>
      </c>
      <c r="E14" t="s">
        <v>100</v>
      </c>
      <c r="F14" t="s">
        <v>96</v>
      </c>
      <c r="G14" s="3" t="s">
        <v>101</v>
      </c>
      <c r="H14">
        <v>1</v>
      </c>
      <c r="I14">
        <v>1</v>
      </c>
      <c r="J14">
        <v>3</v>
      </c>
      <c r="K14" s="1">
        <v>4200</v>
      </c>
      <c r="L14">
        <v>1</v>
      </c>
      <c r="M14">
        <f>L14*K14</f>
        <v>4200</v>
      </c>
      <c r="N14" t="s">
        <v>174</v>
      </c>
    </row>
    <row r="15" spans="1:14" x14ac:dyDescent="0.35">
      <c r="A15" t="s">
        <v>30</v>
      </c>
      <c r="B15" t="s">
        <v>8</v>
      </c>
      <c r="C15" t="s">
        <v>3</v>
      </c>
      <c r="D15" t="s">
        <v>9</v>
      </c>
      <c r="E15" t="s">
        <v>111</v>
      </c>
      <c r="F15" t="s">
        <v>97</v>
      </c>
      <c r="G15" t="s">
        <v>101</v>
      </c>
      <c r="H15">
        <v>11</v>
      </c>
      <c r="I15">
        <v>4</v>
      </c>
      <c r="J15">
        <v>2</v>
      </c>
      <c r="K15" s="1">
        <v>22800</v>
      </c>
      <c r="L15">
        <v>1</v>
      </c>
      <c r="M15">
        <f t="shared" si="0"/>
        <v>22800</v>
      </c>
      <c r="N15" t="s">
        <v>178</v>
      </c>
    </row>
    <row r="16" spans="1:14" x14ac:dyDescent="0.35">
      <c r="A16" t="s">
        <v>31</v>
      </c>
      <c r="B16" t="s">
        <v>8</v>
      </c>
      <c r="C16" t="s">
        <v>3</v>
      </c>
      <c r="D16" t="s">
        <v>9</v>
      </c>
      <c r="E16" t="s">
        <v>110</v>
      </c>
      <c r="F16" t="s">
        <v>96</v>
      </c>
      <c r="G16" t="s">
        <v>109</v>
      </c>
      <c r="H16">
        <v>81</v>
      </c>
      <c r="I16">
        <v>3</v>
      </c>
      <c r="J16">
        <v>2</v>
      </c>
      <c r="K16" s="1">
        <v>7540</v>
      </c>
      <c r="L16">
        <v>1</v>
      </c>
      <c r="M16">
        <f t="shared" si="0"/>
        <v>7540</v>
      </c>
      <c r="N16" t="s">
        <v>174</v>
      </c>
    </row>
    <row r="17" spans="1:14" x14ac:dyDescent="0.35">
      <c r="A17" t="s">
        <v>32</v>
      </c>
      <c r="B17" t="s">
        <v>8</v>
      </c>
      <c r="C17" t="s">
        <v>3</v>
      </c>
      <c r="D17" t="s">
        <v>9</v>
      </c>
      <c r="E17" t="s">
        <v>112</v>
      </c>
      <c r="F17" t="s">
        <v>96</v>
      </c>
      <c r="G17" t="s">
        <v>113</v>
      </c>
      <c r="H17">
        <v>95</v>
      </c>
      <c r="I17">
        <v>3</v>
      </c>
      <c r="J17">
        <v>2</v>
      </c>
      <c r="K17" s="1">
        <v>8420</v>
      </c>
      <c r="L17">
        <v>1</v>
      </c>
      <c r="M17">
        <f t="shared" si="0"/>
        <v>8420</v>
      </c>
      <c r="N17" t="s">
        <v>174</v>
      </c>
    </row>
    <row r="18" spans="1:14" x14ac:dyDescent="0.35">
      <c r="A18" t="s">
        <v>33</v>
      </c>
      <c r="B18" t="s">
        <v>8</v>
      </c>
      <c r="C18" t="s">
        <v>3</v>
      </c>
      <c r="D18" t="s">
        <v>9</v>
      </c>
      <c r="E18" t="s">
        <v>114</v>
      </c>
      <c r="F18" t="s">
        <v>96</v>
      </c>
      <c r="G18" t="s">
        <v>107</v>
      </c>
      <c r="H18">
        <v>11</v>
      </c>
      <c r="I18">
        <v>3</v>
      </c>
      <c r="J18">
        <v>2</v>
      </c>
      <c r="K18" s="1">
        <v>7120</v>
      </c>
      <c r="L18">
        <v>1</v>
      </c>
      <c r="M18">
        <f t="shared" si="0"/>
        <v>7120</v>
      </c>
      <c r="N18" t="s">
        <v>174</v>
      </c>
    </row>
    <row r="19" spans="1:14" x14ac:dyDescent="0.35">
      <c r="A19" t="s">
        <v>34</v>
      </c>
      <c r="B19" t="s">
        <v>8</v>
      </c>
      <c r="C19" t="s">
        <v>3</v>
      </c>
      <c r="D19" t="s">
        <v>9</v>
      </c>
      <c r="E19" t="s">
        <v>114</v>
      </c>
      <c r="F19" t="s">
        <v>96</v>
      </c>
      <c r="G19" t="s">
        <v>107</v>
      </c>
      <c r="H19">
        <v>11</v>
      </c>
      <c r="I19">
        <v>3</v>
      </c>
      <c r="J19">
        <v>4</v>
      </c>
      <c r="K19" s="1">
        <v>14440</v>
      </c>
      <c r="L19">
        <v>1</v>
      </c>
      <c r="M19">
        <f t="shared" si="0"/>
        <v>14440</v>
      </c>
      <c r="N19" t="s">
        <v>174</v>
      </c>
    </row>
    <row r="20" spans="1:14" x14ac:dyDescent="0.35">
      <c r="A20" t="s">
        <v>35</v>
      </c>
      <c r="B20" t="s">
        <v>8</v>
      </c>
      <c r="C20" t="s">
        <v>3</v>
      </c>
      <c r="D20" t="s">
        <v>9</v>
      </c>
      <c r="E20" t="s">
        <v>102</v>
      </c>
      <c r="F20" t="s">
        <v>11</v>
      </c>
      <c r="G20" s="3" t="s">
        <v>103</v>
      </c>
      <c r="H20">
        <v>280</v>
      </c>
      <c r="I20">
        <v>5</v>
      </c>
      <c r="J20">
        <v>2</v>
      </c>
      <c r="K20" s="1">
        <v>80000</v>
      </c>
      <c r="L20">
        <v>1</v>
      </c>
      <c r="M20">
        <f t="shared" si="0"/>
        <v>80000</v>
      </c>
      <c r="N20" t="s">
        <v>175</v>
      </c>
    </row>
    <row r="21" spans="1:14" x14ac:dyDescent="0.35">
      <c r="A21" t="s">
        <v>36</v>
      </c>
      <c r="B21" t="s">
        <v>8</v>
      </c>
      <c r="C21" t="s">
        <v>3</v>
      </c>
      <c r="D21" t="s">
        <v>9</v>
      </c>
      <c r="E21" t="s">
        <v>102</v>
      </c>
      <c r="F21" t="s">
        <v>11</v>
      </c>
      <c r="G21" s="3" t="s">
        <v>103</v>
      </c>
      <c r="H21">
        <v>280</v>
      </c>
      <c r="I21">
        <v>5</v>
      </c>
      <c r="J21">
        <v>3</v>
      </c>
      <c r="K21" s="1">
        <v>250000</v>
      </c>
      <c r="L21">
        <v>1</v>
      </c>
      <c r="M21">
        <f t="shared" si="0"/>
        <v>250000</v>
      </c>
      <c r="N21" t="s">
        <v>175</v>
      </c>
    </row>
    <row r="22" spans="1:14" x14ac:dyDescent="0.35">
      <c r="A22" t="s">
        <v>37</v>
      </c>
      <c r="B22" t="s">
        <v>12</v>
      </c>
      <c r="C22" t="s">
        <v>4</v>
      </c>
      <c r="D22" t="s">
        <v>10</v>
      </c>
      <c r="E22" t="s">
        <v>121</v>
      </c>
      <c r="F22" t="s">
        <v>11</v>
      </c>
      <c r="G22" t="s">
        <v>103</v>
      </c>
      <c r="H22">
        <v>45400</v>
      </c>
      <c r="I22">
        <v>5</v>
      </c>
      <c r="J22">
        <v>2</v>
      </c>
      <c r="K22" s="1">
        <v>37700</v>
      </c>
      <c r="L22">
        <v>1</v>
      </c>
      <c r="M22">
        <f t="shared" si="0"/>
        <v>37700</v>
      </c>
      <c r="N22" t="s">
        <v>175</v>
      </c>
    </row>
    <row r="23" spans="1:14" x14ac:dyDescent="0.35">
      <c r="A23" t="s">
        <v>38</v>
      </c>
      <c r="B23" t="s">
        <v>12</v>
      </c>
      <c r="C23" t="s">
        <v>4</v>
      </c>
      <c r="D23" t="s">
        <v>10</v>
      </c>
      <c r="E23" t="s">
        <v>128</v>
      </c>
      <c r="F23" t="s">
        <v>97</v>
      </c>
      <c r="G23" t="s">
        <v>105</v>
      </c>
      <c r="H23">
        <v>921</v>
      </c>
      <c r="I23">
        <v>5</v>
      </c>
      <c r="J23">
        <v>2</v>
      </c>
      <c r="K23" s="1">
        <v>22474</v>
      </c>
      <c r="L23">
        <v>1</v>
      </c>
      <c r="M23">
        <f t="shared" si="0"/>
        <v>22474</v>
      </c>
      <c r="N23" t="s">
        <v>177</v>
      </c>
    </row>
    <row r="24" spans="1:14" x14ac:dyDescent="0.35">
      <c r="A24" t="s">
        <v>39</v>
      </c>
      <c r="B24" t="s">
        <v>12</v>
      </c>
      <c r="C24" t="s">
        <v>4</v>
      </c>
      <c r="D24" t="s">
        <v>10</v>
      </c>
      <c r="E24" t="s">
        <v>122</v>
      </c>
      <c r="F24" t="s">
        <v>97</v>
      </c>
      <c r="G24" t="s">
        <v>103</v>
      </c>
      <c r="H24">
        <v>6700</v>
      </c>
      <c r="I24">
        <v>5</v>
      </c>
      <c r="J24">
        <v>2</v>
      </c>
      <c r="K24" s="1">
        <v>15302</v>
      </c>
      <c r="L24">
        <v>1</v>
      </c>
      <c r="M24">
        <f t="shared" si="0"/>
        <v>15302</v>
      </c>
      <c r="N24" t="s">
        <v>177</v>
      </c>
    </row>
    <row r="25" spans="1:14" x14ac:dyDescent="0.35">
      <c r="A25" t="s">
        <v>40</v>
      </c>
      <c r="B25" t="s">
        <v>12</v>
      </c>
      <c r="C25" t="s">
        <v>4</v>
      </c>
      <c r="D25" t="s">
        <v>10</v>
      </c>
      <c r="E25" t="s">
        <v>115</v>
      </c>
      <c r="F25" t="s">
        <v>97</v>
      </c>
      <c r="G25" t="s">
        <v>116</v>
      </c>
      <c r="H25">
        <v>481</v>
      </c>
      <c r="I25">
        <v>3</v>
      </c>
      <c r="J25">
        <v>2</v>
      </c>
      <c r="K25" s="1">
        <v>13500</v>
      </c>
      <c r="L25">
        <v>1</v>
      </c>
      <c r="M25">
        <f t="shared" si="0"/>
        <v>13500</v>
      </c>
      <c r="N25" t="s">
        <v>177</v>
      </c>
    </row>
    <row r="26" spans="1:14" x14ac:dyDescent="0.35">
      <c r="A26" t="s">
        <v>41</v>
      </c>
      <c r="B26" t="s">
        <v>12</v>
      </c>
      <c r="C26" t="s">
        <v>4</v>
      </c>
      <c r="D26" t="s">
        <v>10</v>
      </c>
      <c r="E26" t="s">
        <v>117</v>
      </c>
      <c r="F26" t="s">
        <v>97</v>
      </c>
      <c r="G26" t="s">
        <v>109</v>
      </c>
      <c r="H26">
        <v>1100</v>
      </c>
      <c r="I26">
        <v>3</v>
      </c>
      <c r="J26">
        <v>2</v>
      </c>
      <c r="K26" s="1">
        <v>14500</v>
      </c>
      <c r="L26">
        <v>1</v>
      </c>
      <c r="M26">
        <f t="shared" si="0"/>
        <v>14500</v>
      </c>
      <c r="N26" t="s">
        <v>177</v>
      </c>
    </row>
    <row r="27" spans="1:14" x14ac:dyDescent="0.35">
      <c r="A27" t="s">
        <v>42</v>
      </c>
      <c r="B27" t="s">
        <v>12</v>
      </c>
      <c r="C27" t="s">
        <v>4</v>
      </c>
      <c r="D27" t="s">
        <v>10</v>
      </c>
      <c r="E27" t="s">
        <v>117</v>
      </c>
      <c r="F27" t="s">
        <v>97</v>
      </c>
      <c r="G27" t="s">
        <v>109</v>
      </c>
      <c r="H27">
        <v>1100</v>
      </c>
      <c r="I27">
        <v>3</v>
      </c>
      <c r="J27">
        <v>3</v>
      </c>
      <c r="K27" s="1">
        <v>17900</v>
      </c>
      <c r="L27">
        <v>1</v>
      </c>
      <c r="M27">
        <f t="shared" si="0"/>
        <v>17900</v>
      </c>
      <c r="N27" t="s">
        <v>177</v>
      </c>
    </row>
    <row r="28" spans="1:14" x14ac:dyDescent="0.35">
      <c r="A28" t="s">
        <v>43</v>
      </c>
      <c r="B28" t="s">
        <v>12</v>
      </c>
      <c r="C28" t="s">
        <v>4</v>
      </c>
      <c r="D28" t="s">
        <v>10</v>
      </c>
      <c r="E28" t="s">
        <v>118</v>
      </c>
      <c r="F28" t="s">
        <v>97</v>
      </c>
      <c r="G28" t="s">
        <v>131</v>
      </c>
      <c r="H28">
        <v>58</v>
      </c>
      <c r="I28">
        <v>3</v>
      </c>
      <c r="J28">
        <v>5</v>
      </c>
      <c r="K28" s="1">
        <v>12000</v>
      </c>
      <c r="L28">
        <v>1</v>
      </c>
      <c r="M28">
        <f t="shared" si="0"/>
        <v>12000</v>
      </c>
      <c r="N28" t="s">
        <v>180</v>
      </c>
    </row>
    <row r="29" spans="1:14" x14ac:dyDescent="0.35">
      <c r="A29" t="s">
        <v>44</v>
      </c>
      <c r="B29" t="s">
        <v>12</v>
      </c>
      <c r="C29" t="s">
        <v>4</v>
      </c>
      <c r="D29" t="s">
        <v>10</v>
      </c>
      <c r="E29" t="s">
        <v>118</v>
      </c>
      <c r="F29" t="s">
        <v>96</v>
      </c>
      <c r="G29" t="s">
        <v>131</v>
      </c>
      <c r="H29">
        <v>58</v>
      </c>
      <c r="I29">
        <v>3</v>
      </c>
      <c r="J29">
        <v>2</v>
      </c>
      <c r="K29" s="1">
        <v>5000</v>
      </c>
      <c r="L29">
        <v>1</v>
      </c>
      <c r="M29">
        <f t="shared" si="0"/>
        <v>5000</v>
      </c>
      <c r="N29" t="s">
        <v>180</v>
      </c>
    </row>
    <row r="30" spans="1:14" x14ac:dyDescent="0.35">
      <c r="A30" t="s">
        <v>45</v>
      </c>
      <c r="B30" t="s">
        <v>12</v>
      </c>
      <c r="C30" t="s">
        <v>4</v>
      </c>
      <c r="D30" t="s">
        <v>10</v>
      </c>
      <c r="E30" t="s">
        <v>172</v>
      </c>
      <c r="F30" t="s">
        <v>96</v>
      </c>
      <c r="G30" t="s">
        <v>103</v>
      </c>
      <c r="H30">
        <v>938</v>
      </c>
      <c r="I30">
        <v>4</v>
      </c>
      <c r="J30">
        <v>1</v>
      </c>
      <c r="K30" s="1">
        <v>6750</v>
      </c>
      <c r="L30">
        <v>1</v>
      </c>
      <c r="M30">
        <f t="shared" si="0"/>
        <v>6750</v>
      </c>
      <c r="N30" t="s">
        <v>180</v>
      </c>
    </row>
    <row r="31" spans="1:14" x14ac:dyDescent="0.35">
      <c r="A31" t="s">
        <v>46</v>
      </c>
      <c r="B31" t="s">
        <v>12</v>
      </c>
      <c r="C31" t="s">
        <v>4</v>
      </c>
      <c r="D31" t="s">
        <v>10</v>
      </c>
      <c r="E31" t="s">
        <v>120</v>
      </c>
      <c r="F31" t="s">
        <v>97</v>
      </c>
      <c r="G31" s="2" t="s">
        <v>124</v>
      </c>
      <c r="H31">
        <v>2600</v>
      </c>
      <c r="I31">
        <v>3</v>
      </c>
      <c r="J31">
        <v>2</v>
      </c>
      <c r="K31" s="1">
        <v>20880</v>
      </c>
      <c r="L31">
        <v>1</v>
      </c>
      <c r="M31">
        <f t="shared" si="0"/>
        <v>20880</v>
      </c>
      <c r="N31" t="s">
        <v>177</v>
      </c>
    </row>
    <row r="32" spans="1:14" x14ac:dyDescent="0.35">
      <c r="A32" t="s">
        <v>47</v>
      </c>
      <c r="B32" t="s">
        <v>12</v>
      </c>
      <c r="C32" t="s">
        <v>4</v>
      </c>
      <c r="D32" t="s">
        <v>10</v>
      </c>
      <c r="E32" t="s">
        <v>123</v>
      </c>
      <c r="F32" t="s">
        <v>97</v>
      </c>
      <c r="G32" s="2" t="s">
        <v>124</v>
      </c>
      <c r="H32">
        <v>6500</v>
      </c>
      <c r="I32">
        <v>4</v>
      </c>
      <c r="J32">
        <v>2</v>
      </c>
      <c r="K32" s="1">
        <v>18241</v>
      </c>
      <c r="L32">
        <v>1</v>
      </c>
      <c r="M32">
        <f t="shared" si="0"/>
        <v>18241</v>
      </c>
      <c r="N32" t="s">
        <v>177</v>
      </c>
    </row>
    <row r="33" spans="1:14" x14ac:dyDescent="0.35">
      <c r="A33" t="s">
        <v>48</v>
      </c>
      <c r="B33" t="s">
        <v>12</v>
      </c>
      <c r="C33" t="s">
        <v>4</v>
      </c>
      <c r="D33" t="s">
        <v>10</v>
      </c>
      <c r="E33" t="s">
        <v>125</v>
      </c>
      <c r="F33" t="s">
        <v>97</v>
      </c>
      <c r="G33" t="s">
        <v>109</v>
      </c>
      <c r="H33">
        <v>12600</v>
      </c>
      <c r="I33">
        <v>4</v>
      </c>
      <c r="J33">
        <v>2</v>
      </c>
      <c r="K33" s="1">
        <v>17972</v>
      </c>
      <c r="L33">
        <v>1</v>
      </c>
      <c r="M33">
        <f t="shared" si="0"/>
        <v>17972</v>
      </c>
      <c r="N33" t="s">
        <v>177</v>
      </c>
    </row>
    <row r="34" spans="1:14" x14ac:dyDescent="0.35">
      <c r="A34" t="s">
        <v>49</v>
      </c>
      <c r="B34" t="s">
        <v>12</v>
      </c>
      <c r="C34" t="s">
        <v>4</v>
      </c>
      <c r="D34" t="s">
        <v>10</v>
      </c>
      <c r="E34" t="s">
        <v>126</v>
      </c>
      <c r="F34" t="s">
        <v>96</v>
      </c>
      <c r="G34" t="s">
        <v>127</v>
      </c>
      <c r="H34">
        <v>1400</v>
      </c>
      <c r="I34">
        <v>2</v>
      </c>
      <c r="J34">
        <v>2</v>
      </c>
      <c r="K34" s="1">
        <v>2865</v>
      </c>
      <c r="L34">
        <v>1</v>
      </c>
      <c r="M34">
        <f t="shared" si="0"/>
        <v>2865</v>
      </c>
      <c r="N34" t="s">
        <v>179</v>
      </c>
    </row>
    <row r="35" spans="1:14" x14ac:dyDescent="0.35">
      <c r="A35" t="s">
        <v>50</v>
      </c>
      <c r="B35" t="s">
        <v>12</v>
      </c>
      <c r="C35" t="s">
        <v>4</v>
      </c>
      <c r="D35" t="s">
        <v>10</v>
      </c>
      <c r="E35" t="s">
        <v>120</v>
      </c>
      <c r="F35" t="s">
        <v>97</v>
      </c>
      <c r="G35" t="s">
        <v>124</v>
      </c>
      <c r="H35">
        <v>2600</v>
      </c>
      <c r="I35">
        <v>3</v>
      </c>
      <c r="J35">
        <v>5</v>
      </c>
      <c r="K35" s="1">
        <v>52576</v>
      </c>
      <c r="L35">
        <v>1</v>
      </c>
      <c r="M35">
        <f t="shared" si="0"/>
        <v>52576</v>
      </c>
      <c r="N35" t="s">
        <v>177</v>
      </c>
    </row>
    <row r="36" spans="1:14" x14ac:dyDescent="0.35">
      <c r="A36" t="s">
        <v>51</v>
      </c>
      <c r="B36" t="s">
        <v>12</v>
      </c>
      <c r="C36" t="s">
        <v>4</v>
      </c>
      <c r="D36" t="s">
        <v>10</v>
      </c>
      <c r="E36" t="s">
        <v>119</v>
      </c>
      <c r="F36" t="s">
        <v>96</v>
      </c>
      <c r="G36" t="s">
        <v>103</v>
      </c>
      <c r="H36">
        <v>938</v>
      </c>
      <c r="I36">
        <v>4</v>
      </c>
      <c r="J36">
        <v>5</v>
      </c>
      <c r="K36" s="1">
        <v>12528</v>
      </c>
      <c r="L36">
        <v>1</v>
      </c>
      <c r="M36">
        <f t="shared" ref="M36" si="2">L36*K36</f>
        <v>12528</v>
      </c>
      <c r="N36" t="s">
        <v>179</v>
      </c>
    </row>
    <row r="37" spans="1:14" x14ac:dyDescent="0.35">
      <c r="A37" t="s">
        <v>52</v>
      </c>
      <c r="B37" t="s">
        <v>12</v>
      </c>
      <c r="C37" t="s">
        <v>4</v>
      </c>
      <c r="D37" t="s">
        <v>10</v>
      </c>
      <c r="E37" t="s">
        <v>129</v>
      </c>
      <c r="F37" t="s">
        <v>11</v>
      </c>
      <c r="G37" t="s">
        <v>105</v>
      </c>
      <c r="H37">
        <v>7800</v>
      </c>
      <c r="I37">
        <v>3</v>
      </c>
      <c r="J37">
        <v>2</v>
      </c>
      <c r="K37" s="1">
        <v>30651</v>
      </c>
      <c r="L37">
        <v>1</v>
      </c>
      <c r="M37">
        <f t="shared" si="0"/>
        <v>30651</v>
      </c>
      <c r="N37" t="s">
        <v>177</v>
      </c>
    </row>
    <row r="38" spans="1:14" x14ac:dyDescent="0.35">
      <c r="A38" t="s">
        <v>53</v>
      </c>
      <c r="B38" t="s">
        <v>12</v>
      </c>
      <c r="C38" t="s">
        <v>4</v>
      </c>
      <c r="D38" t="s">
        <v>10</v>
      </c>
      <c r="E38" t="s">
        <v>130</v>
      </c>
      <c r="F38" t="s">
        <v>11</v>
      </c>
      <c r="G38" t="s">
        <v>103</v>
      </c>
      <c r="H38">
        <v>4000</v>
      </c>
      <c r="I38">
        <v>5</v>
      </c>
      <c r="J38">
        <v>2</v>
      </c>
      <c r="K38" s="1">
        <v>46247</v>
      </c>
      <c r="L38">
        <v>1</v>
      </c>
      <c r="M38">
        <f t="shared" si="0"/>
        <v>46247</v>
      </c>
      <c r="N38" t="s">
        <v>175</v>
      </c>
    </row>
    <row r="39" spans="1:14" x14ac:dyDescent="0.35">
      <c r="A39" t="s">
        <v>54</v>
      </c>
      <c r="B39" t="s">
        <v>12</v>
      </c>
      <c r="C39" t="s">
        <v>6</v>
      </c>
      <c r="D39" t="s">
        <v>10</v>
      </c>
      <c r="E39" t="s">
        <v>171</v>
      </c>
      <c r="F39" t="s">
        <v>11</v>
      </c>
      <c r="G39" t="s">
        <v>105</v>
      </c>
      <c r="H39">
        <v>28300</v>
      </c>
      <c r="I39">
        <v>5</v>
      </c>
      <c r="J39">
        <v>2</v>
      </c>
      <c r="K39" s="1">
        <v>40398</v>
      </c>
      <c r="L39">
        <v>1</v>
      </c>
      <c r="M39">
        <f t="shared" si="0"/>
        <v>40398</v>
      </c>
      <c r="N39" t="s">
        <v>175</v>
      </c>
    </row>
    <row r="40" spans="1:14" x14ac:dyDescent="0.35">
      <c r="A40" t="s">
        <v>55</v>
      </c>
      <c r="B40" t="s">
        <v>12</v>
      </c>
      <c r="C40" t="s">
        <v>6</v>
      </c>
      <c r="D40" t="s">
        <v>10</v>
      </c>
      <c r="E40" t="s">
        <v>132</v>
      </c>
      <c r="F40" t="s">
        <v>97</v>
      </c>
      <c r="G40" t="s">
        <v>116</v>
      </c>
      <c r="H40">
        <v>8700</v>
      </c>
      <c r="I40">
        <v>3</v>
      </c>
      <c r="J40">
        <v>2</v>
      </c>
      <c r="K40" s="1">
        <v>17741</v>
      </c>
      <c r="L40">
        <v>1</v>
      </c>
      <c r="M40">
        <f t="shared" si="0"/>
        <v>17741</v>
      </c>
      <c r="N40" t="s">
        <v>177</v>
      </c>
    </row>
    <row r="41" spans="1:14" x14ac:dyDescent="0.35">
      <c r="A41" t="s">
        <v>56</v>
      </c>
      <c r="B41" t="s">
        <v>12</v>
      </c>
      <c r="C41" t="s">
        <v>6</v>
      </c>
      <c r="D41" t="s">
        <v>10</v>
      </c>
      <c r="E41" t="s">
        <v>133</v>
      </c>
      <c r="F41" t="s">
        <v>97</v>
      </c>
      <c r="G41" t="s">
        <v>105</v>
      </c>
      <c r="H41">
        <v>20600</v>
      </c>
      <c r="I41">
        <v>4</v>
      </c>
      <c r="J41">
        <v>2</v>
      </c>
      <c r="K41" s="1">
        <v>22661</v>
      </c>
      <c r="L41">
        <v>1</v>
      </c>
      <c r="M41">
        <f t="shared" si="0"/>
        <v>22661</v>
      </c>
      <c r="N41" t="s">
        <v>175</v>
      </c>
    </row>
    <row r="42" spans="1:14" x14ac:dyDescent="0.35">
      <c r="A42" t="s">
        <v>57</v>
      </c>
      <c r="B42" t="s">
        <v>12</v>
      </c>
      <c r="C42" t="s">
        <v>6</v>
      </c>
      <c r="D42" t="s">
        <v>10</v>
      </c>
      <c r="E42" t="s">
        <v>134</v>
      </c>
      <c r="F42" t="s">
        <v>96</v>
      </c>
      <c r="G42" t="s">
        <v>135</v>
      </c>
      <c r="H42">
        <v>2800</v>
      </c>
      <c r="I42">
        <v>3</v>
      </c>
      <c r="J42">
        <v>2</v>
      </c>
      <c r="K42" s="1">
        <v>8084</v>
      </c>
      <c r="L42">
        <v>1</v>
      </c>
      <c r="M42">
        <f t="shared" si="0"/>
        <v>8084</v>
      </c>
      <c r="N42" t="s">
        <v>179</v>
      </c>
    </row>
    <row r="43" spans="1:14" x14ac:dyDescent="0.35">
      <c r="A43" t="s">
        <v>58</v>
      </c>
      <c r="B43" t="s">
        <v>12</v>
      </c>
      <c r="C43" t="s">
        <v>6</v>
      </c>
      <c r="D43" t="s">
        <v>10</v>
      </c>
      <c r="E43" t="s">
        <v>136</v>
      </c>
      <c r="F43" t="s">
        <v>11</v>
      </c>
      <c r="G43" t="s">
        <v>131</v>
      </c>
      <c r="H43">
        <v>14400</v>
      </c>
      <c r="I43">
        <v>5</v>
      </c>
      <c r="J43">
        <v>2</v>
      </c>
      <c r="K43" s="1">
        <v>29419</v>
      </c>
      <c r="L43">
        <v>1</v>
      </c>
      <c r="M43">
        <f t="shared" si="0"/>
        <v>29419</v>
      </c>
      <c r="N43" t="s">
        <v>175</v>
      </c>
    </row>
    <row r="44" spans="1:14" x14ac:dyDescent="0.35">
      <c r="A44" t="s">
        <v>59</v>
      </c>
      <c r="B44" t="s">
        <v>12</v>
      </c>
      <c r="C44" t="s">
        <v>6</v>
      </c>
      <c r="D44" t="s">
        <v>10</v>
      </c>
      <c r="E44" t="s">
        <v>137</v>
      </c>
      <c r="F44" t="s">
        <v>96</v>
      </c>
      <c r="G44" t="s">
        <v>109</v>
      </c>
      <c r="H44">
        <v>17</v>
      </c>
      <c r="I44">
        <v>2</v>
      </c>
      <c r="J44">
        <v>2</v>
      </c>
      <c r="K44" s="1">
        <v>3345</v>
      </c>
      <c r="L44">
        <v>1</v>
      </c>
      <c r="M44">
        <f t="shared" si="0"/>
        <v>3345</v>
      </c>
      <c r="N44" t="s">
        <v>174</v>
      </c>
    </row>
    <row r="45" spans="1:14" x14ac:dyDescent="0.35">
      <c r="A45" t="s">
        <v>60</v>
      </c>
      <c r="B45" t="s">
        <v>12</v>
      </c>
      <c r="C45" t="s">
        <v>6</v>
      </c>
      <c r="D45" t="s">
        <v>10</v>
      </c>
      <c r="E45" t="s">
        <v>138</v>
      </c>
      <c r="F45" t="s">
        <v>97</v>
      </c>
      <c r="G45" t="s">
        <v>98</v>
      </c>
      <c r="H45">
        <v>925</v>
      </c>
      <c r="I45">
        <v>4</v>
      </c>
      <c r="J45">
        <v>2</v>
      </c>
      <c r="K45" s="1">
        <v>14635</v>
      </c>
      <c r="L45">
        <v>1</v>
      </c>
      <c r="M45">
        <f t="shared" si="0"/>
        <v>14635</v>
      </c>
      <c r="N45" t="s">
        <v>177</v>
      </c>
    </row>
    <row r="46" spans="1:14" x14ac:dyDescent="0.35">
      <c r="A46" t="s">
        <v>61</v>
      </c>
      <c r="B46" t="s">
        <v>8</v>
      </c>
      <c r="C46" t="s">
        <v>5</v>
      </c>
      <c r="D46" t="s">
        <v>10</v>
      </c>
      <c r="E46" t="s">
        <v>144</v>
      </c>
      <c r="F46" t="s">
        <v>96</v>
      </c>
      <c r="G46" t="s">
        <v>131</v>
      </c>
      <c r="H46">
        <v>1200</v>
      </c>
      <c r="I46">
        <v>3</v>
      </c>
      <c r="J46">
        <v>4</v>
      </c>
      <c r="K46" s="1">
        <v>14375</v>
      </c>
      <c r="L46">
        <v>1</v>
      </c>
      <c r="M46">
        <f t="shared" ref="M46:M76" si="3">L46*K46</f>
        <v>14375</v>
      </c>
      <c r="N46" t="s">
        <v>177</v>
      </c>
    </row>
    <row r="47" spans="1:14" x14ac:dyDescent="0.35">
      <c r="A47" t="s">
        <v>62</v>
      </c>
      <c r="B47" t="s">
        <v>8</v>
      </c>
      <c r="C47" t="s">
        <v>5</v>
      </c>
      <c r="D47" t="s">
        <v>10</v>
      </c>
      <c r="E47" t="s">
        <v>139</v>
      </c>
      <c r="F47" t="s">
        <v>11</v>
      </c>
      <c r="G47" t="s">
        <v>98</v>
      </c>
      <c r="H47">
        <v>7900</v>
      </c>
      <c r="I47">
        <v>5</v>
      </c>
      <c r="J47">
        <v>2</v>
      </c>
      <c r="K47" s="1">
        <v>36773</v>
      </c>
      <c r="L47">
        <v>1</v>
      </c>
      <c r="M47">
        <f t="shared" si="3"/>
        <v>36773</v>
      </c>
      <c r="N47" t="s">
        <v>175</v>
      </c>
    </row>
    <row r="48" spans="1:14" x14ac:dyDescent="0.35">
      <c r="A48" t="s">
        <v>63</v>
      </c>
      <c r="B48" t="s">
        <v>8</v>
      </c>
      <c r="C48" t="s">
        <v>5</v>
      </c>
      <c r="D48" t="s">
        <v>10</v>
      </c>
      <c r="E48" t="s">
        <v>140</v>
      </c>
      <c r="F48" t="s">
        <v>97</v>
      </c>
      <c r="G48" t="s">
        <v>116</v>
      </c>
      <c r="H48">
        <v>4000</v>
      </c>
      <c r="I48">
        <v>3</v>
      </c>
      <c r="J48">
        <v>2</v>
      </c>
      <c r="K48" s="1">
        <v>14347</v>
      </c>
      <c r="L48">
        <v>1</v>
      </c>
      <c r="M48">
        <f t="shared" si="3"/>
        <v>14347</v>
      </c>
      <c r="N48" t="s">
        <v>177</v>
      </c>
    </row>
    <row r="49" spans="1:14" x14ac:dyDescent="0.35">
      <c r="A49" t="s">
        <v>64</v>
      </c>
      <c r="B49" t="s">
        <v>8</v>
      </c>
      <c r="C49" t="s">
        <v>5</v>
      </c>
      <c r="D49" t="s">
        <v>10</v>
      </c>
      <c r="E49" t="s">
        <v>141</v>
      </c>
      <c r="F49" t="s">
        <v>96</v>
      </c>
      <c r="G49" t="s">
        <v>107</v>
      </c>
      <c r="H49">
        <v>31</v>
      </c>
      <c r="I49">
        <v>2</v>
      </c>
      <c r="J49">
        <v>2</v>
      </c>
      <c r="K49" s="1">
        <v>7245</v>
      </c>
      <c r="L49">
        <v>1</v>
      </c>
      <c r="M49">
        <f t="shared" si="3"/>
        <v>7245</v>
      </c>
      <c r="N49" t="s">
        <v>179</v>
      </c>
    </row>
    <row r="50" spans="1:14" x14ac:dyDescent="0.35">
      <c r="A50" t="s">
        <v>65</v>
      </c>
      <c r="B50" t="s">
        <v>8</v>
      </c>
      <c r="C50" t="s">
        <v>5</v>
      </c>
      <c r="D50" t="s">
        <v>10</v>
      </c>
      <c r="E50" t="s">
        <v>142</v>
      </c>
      <c r="F50" t="s">
        <v>96</v>
      </c>
      <c r="G50" t="s">
        <v>103</v>
      </c>
      <c r="H50">
        <v>270</v>
      </c>
      <c r="I50">
        <v>3</v>
      </c>
      <c r="J50">
        <v>2</v>
      </c>
      <c r="K50" s="1">
        <v>7130</v>
      </c>
      <c r="L50">
        <v>1</v>
      </c>
      <c r="M50">
        <f t="shared" si="3"/>
        <v>7130</v>
      </c>
      <c r="N50" t="s">
        <v>179</v>
      </c>
    </row>
    <row r="51" spans="1:14" x14ac:dyDescent="0.35">
      <c r="A51" t="s">
        <v>66</v>
      </c>
      <c r="B51" t="s">
        <v>8</v>
      </c>
      <c r="C51" t="s">
        <v>5</v>
      </c>
      <c r="D51" t="s">
        <v>10</v>
      </c>
      <c r="E51" t="s">
        <v>143</v>
      </c>
      <c r="F51" t="s">
        <v>97</v>
      </c>
      <c r="G51" t="s">
        <v>116</v>
      </c>
      <c r="H51">
        <v>2300</v>
      </c>
      <c r="I51">
        <v>4</v>
      </c>
      <c r="J51">
        <v>2</v>
      </c>
      <c r="K51" s="1">
        <v>13800</v>
      </c>
      <c r="L51">
        <v>1</v>
      </c>
      <c r="M51">
        <f t="shared" si="3"/>
        <v>13800</v>
      </c>
      <c r="N51" t="s">
        <v>177</v>
      </c>
    </row>
    <row r="52" spans="1:14" x14ac:dyDescent="0.35">
      <c r="A52" t="s">
        <v>67</v>
      </c>
      <c r="B52" t="s">
        <v>8</v>
      </c>
      <c r="C52" t="s">
        <v>5</v>
      </c>
      <c r="D52" t="s">
        <v>10</v>
      </c>
      <c r="E52" t="s">
        <v>139</v>
      </c>
      <c r="F52" t="s">
        <v>11</v>
      </c>
      <c r="G52" t="s">
        <v>98</v>
      </c>
      <c r="H52">
        <v>7900</v>
      </c>
      <c r="I52">
        <v>5</v>
      </c>
      <c r="J52">
        <v>4</v>
      </c>
      <c r="K52" s="1">
        <v>68908</v>
      </c>
      <c r="L52">
        <v>1</v>
      </c>
      <c r="M52">
        <f t="shared" si="3"/>
        <v>68908</v>
      </c>
      <c r="N52" t="s">
        <v>175</v>
      </c>
    </row>
    <row r="53" spans="1:14" x14ac:dyDescent="0.35">
      <c r="A53" t="s">
        <v>68</v>
      </c>
      <c r="B53" t="s">
        <v>8</v>
      </c>
      <c r="C53" t="s">
        <v>5</v>
      </c>
      <c r="D53" t="s">
        <v>10</v>
      </c>
      <c r="E53" t="s">
        <v>143</v>
      </c>
      <c r="F53" t="s">
        <v>97</v>
      </c>
      <c r="G53" t="s">
        <v>116</v>
      </c>
      <c r="H53">
        <v>2300</v>
      </c>
      <c r="I53">
        <v>4</v>
      </c>
      <c r="J53">
        <v>4</v>
      </c>
      <c r="K53" s="1">
        <v>35956</v>
      </c>
      <c r="L53">
        <v>1</v>
      </c>
      <c r="M53">
        <f t="shared" si="3"/>
        <v>35956</v>
      </c>
      <c r="N53" t="s">
        <v>175</v>
      </c>
    </row>
    <row r="54" spans="1:14" x14ac:dyDescent="0.35">
      <c r="A54" t="s">
        <v>69</v>
      </c>
      <c r="B54" t="s">
        <v>8</v>
      </c>
      <c r="C54" t="s">
        <v>14</v>
      </c>
      <c r="D54" t="s">
        <v>9</v>
      </c>
      <c r="E54" t="s">
        <v>152</v>
      </c>
      <c r="F54" t="s">
        <v>11</v>
      </c>
      <c r="G54" t="s">
        <v>105</v>
      </c>
      <c r="H54">
        <v>6800</v>
      </c>
      <c r="I54">
        <v>5</v>
      </c>
      <c r="J54">
        <v>2</v>
      </c>
      <c r="K54" s="1">
        <v>27700</v>
      </c>
      <c r="L54">
        <v>1</v>
      </c>
      <c r="M54">
        <f t="shared" si="3"/>
        <v>27700</v>
      </c>
      <c r="N54" t="s">
        <v>175</v>
      </c>
    </row>
    <row r="55" spans="1:14" x14ac:dyDescent="0.35">
      <c r="A55" t="s">
        <v>70</v>
      </c>
      <c r="B55" t="s">
        <v>8</v>
      </c>
      <c r="C55" t="s">
        <v>14</v>
      </c>
      <c r="D55" t="s">
        <v>9</v>
      </c>
      <c r="E55" t="s">
        <v>153</v>
      </c>
      <c r="F55" t="s">
        <v>96</v>
      </c>
      <c r="G55" t="s">
        <v>109</v>
      </c>
      <c r="H55">
        <v>61</v>
      </c>
      <c r="I55">
        <v>2</v>
      </c>
      <c r="J55">
        <v>2</v>
      </c>
      <c r="K55" s="1">
        <v>9500</v>
      </c>
      <c r="L55">
        <v>1</v>
      </c>
      <c r="M55">
        <f t="shared" si="3"/>
        <v>9500</v>
      </c>
      <c r="N55" t="s">
        <v>174</v>
      </c>
    </row>
    <row r="56" spans="1:14" x14ac:dyDescent="0.35">
      <c r="A56" t="s">
        <v>71</v>
      </c>
      <c r="B56" t="s">
        <v>8</v>
      </c>
      <c r="C56" t="s">
        <v>14</v>
      </c>
      <c r="D56" t="s">
        <v>9</v>
      </c>
      <c r="E56" t="s">
        <v>154</v>
      </c>
      <c r="F56" t="s">
        <v>97</v>
      </c>
      <c r="G56" t="s">
        <v>109</v>
      </c>
      <c r="H56">
        <v>120</v>
      </c>
      <c r="I56">
        <v>3</v>
      </c>
      <c r="J56">
        <v>2</v>
      </c>
      <c r="K56" s="1">
        <v>19433</v>
      </c>
      <c r="L56">
        <v>1</v>
      </c>
      <c r="M56">
        <f t="shared" si="3"/>
        <v>19433</v>
      </c>
      <c r="N56" t="s">
        <v>177</v>
      </c>
    </row>
    <row r="57" spans="1:14" x14ac:dyDescent="0.35">
      <c r="A57" t="s">
        <v>72</v>
      </c>
      <c r="B57" t="s">
        <v>8</v>
      </c>
      <c r="C57" t="s">
        <v>14</v>
      </c>
      <c r="D57" t="s">
        <v>9</v>
      </c>
      <c r="E57" t="s">
        <v>155</v>
      </c>
      <c r="F57" t="s">
        <v>96</v>
      </c>
      <c r="G57" t="s">
        <v>103</v>
      </c>
      <c r="H57">
        <v>262</v>
      </c>
      <c r="I57">
        <v>3</v>
      </c>
      <c r="J57">
        <v>2</v>
      </c>
      <c r="K57" s="1">
        <v>4933</v>
      </c>
      <c r="L57">
        <v>1</v>
      </c>
      <c r="M57">
        <f t="shared" si="3"/>
        <v>4933</v>
      </c>
      <c r="N57" t="s">
        <v>174</v>
      </c>
    </row>
    <row r="58" spans="1:14" x14ac:dyDescent="0.35">
      <c r="A58" t="s">
        <v>73</v>
      </c>
      <c r="B58" t="s">
        <v>8</v>
      </c>
      <c r="C58" t="s">
        <v>14</v>
      </c>
      <c r="D58" t="s">
        <v>9</v>
      </c>
      <c r="E58" t="s">
        <v>156</v>
      </c>
      <c r="F58" t="s">
        <v>97</v>
      </c>
      <c r="G58" t="s">
        <v>116</v>
      </c>
      <c r="H58">
        <v>427</v>
      </c>
      <c r="I58">
        <v>3</v>
      </c>
      <c r="J58">
        <v>2</v>
      </c>
      <c r="K58" s="1">
        <v>15750</v>
      </c>
      <c r="L58">
        <v>1</v>
      </c>
      <c r="M58">
        <f t="shared" si="3"/>
        <v>15750</v>
      </c>
      <c r="N58" t="s">
        <v>177</v>
      </c>
    </row>
    <row r="59" spans="1:14" x14ac:dyDescent="0.35">
      <c r="A59" t="s">
        <v>74</v>
      </c>
      <c r="B59" t="s">
        <v>8</v>
      </c>
      <c r="C59" t="s">
        <v>14</v>
      </c>
      <c r="D59" t="s">
        <v>9</v>
      </c>
      <c r="E59" t="s">
        <v>157</v>
      </c>
      <c r="F59" t="s">
        <v>11</v>
      </c>
      <c r="G59" t="s">
        <v>113</v>
      </c>
      <c r="H59">
        <v>61</v>
      </c>
      <c r="I59">
        <v>4</v>
      </c>
      <c r="J59">
        <v>2</v>
      </c>
      <c r="K59" s="1">
        <v>21954</v>
      </c>
      <c r="L59">
        <v>1</v>
      </c>
      <c r="M59">
        <f t="shared" si="3"/>
        <v>21954</v>
      </c>
      <c r="N59" t="s">
        <v>177</v>
      </c>
    </row>
    <row r="60" spans="1:14" x14ac:dyDescent="0.35">
      <c r="A60" t="s">
        <v>75</v>
      </c>
      <c r="B60" t="s">
        <v>8</v>
      </c>
      <c r="C60" t="s">
        <v>14</v>
      </c>
      <c r="D60" t="s">
        <v>9</v>
      </c>
      <c r="E60" t="s">
        <v>157</v>
      </c>
      <c r="F60" t="s">
        <v>11</v>
      </c>
      <c r="G60" t="s">
        <v>113</v>
      </c>
      <c r="H60">
        <v>61</v>
      </c>
      <c r="I60">
        <v>4</v>
      </c>
      <c r="J60">
        <v>4</v>
      </c>
      <c r="K60" s="1">
        <v>46699</v>
      </c>
      <c r="L60">
        <v>1</v>
      </c>
      <c r="M60">
        <f t="shared" si="3"/>
        <v>46699</v>
      </c>
      <c r="N60" t="s">
        <v>177</v>
      </c>
    </row>
    <row r="61" spans="1:14" x14ac:dyDescent="0.35">
      <c r="A61" t="s">
        <v>76</v>
      </c>
      <c r="B61" t="s">
        <v>8</v>
      </c>
      <c r="C61" t="s">
        <v>14</v>
      </c>
      <c r="D61" t="s">
        <v>9</v>
      </c>
      <c r="E61" t="s">
        <v>158</v>
      </c>
      <c r="F61" t="s">
        <v>96</v>
      </c>
      <c r="G61" t="s">
        <v>159</v>
      </c>
      <c r="H61">
        <v>73</v>
      </c>
      <c r="I61">
        <v>4</v>
      </c>
      <c r="J61">
        <v>3</v>
      </c>
      <c r="K61" s="1">
        <v>11000</v>
      </c>
      <c r="L61">
        <v>1</v>
      </c>
      <c r="M61">
        <f t="shared" si="3"/>
        <v>11000</v>
      </c>
      <c r="N61" t="s">
        <v>177</v>
      </c>
    </row>
    <row r="62" spans="1:14" x14ac:dyDescent="0.35">
      <c r="A62" t="s">
        <v>77</v>
      </c>
      <c r="B62" t="s">
        <v>8</v>
      </c>
      <c r="C62" t="s">
        <v>145</v>
      </c>
      <c r="D62" t="s">
        <v>9</v>
      </c>
      <c r="E62" t="s">
        <v>146</v>
      </c>
      <c r="F62" t="s">
        <v>97</v>
      </c>
      <c r="G62" t="s">
        <v>105</v>
      </c>
      <c r="H62">
        <v>422</v>
      </c>
      <c r="I62">
        <v>4</v>
      </c>
      <c r="J62">
        <v>4</v>
      </c>
      <c r="K62" s="1">
        <v>24264</v>
      </c>
      <c r="L62">
        <v>1</v>
      </c>
      <c r="M62">
        <f t="shared" si="3"/>
        <v>24264</v>
      </c>
      <c r="N62" t="s">
        <v>177</v>
      </c>
    </row>
    <row r="63" spans="1:14" x14ac:dyDescent="0.35">
      <c r="A63" t="s">
        <v>78</v>
      </c>
      <c r="B63" t="s">
        <v>8</v>
      </c>
      <c r="C63" t="s">
        <v>145</v>
      </c>
      <c r="D63" t="s">
        <v>9</v>
      </c>
      <c r="E63" t="s">
        <v>148</v>
      </c>
      <c r="F63" t="s">
        <v>11</v>
      </c>
      <c r="G63" t="s">
        <v>103</v>
      </c>
      <c r="H63">
        <v>335</v>
      </c>
      <c r="I63">
        <v>5</v>
      </c>
      <c r="J63">
        <v>4</v>
      </c>
      <c r="K63" s="1">
        <v>82571</v>
      </c>
      <c r="L63">
        <v>1</v>
      </c>
      <c r="M63">
        <f t="shared" si="3"/>
        <v>82571</v>
      </c>
      <c r="N63" t="s">
        <v>176</v>
      </c>
    </row>
    <row r="64" spans="1:14" x14ac:dyDescent="0.35">
      <c r="A64" t="s">
        <v>79</v>
      </c>
      <c r="B64" t="s">
        <v>8</v>
      </c>
      <c r="C64" t="s">
        <v>145</v>
      </c>
      <c r="D64" t="s">
        <v>9</v>
      </c>
      <c r="E64" t="s">
        <v>147</v>
      </c>
      <c r="F64" t="s">
        <v>96</v>
      </c>
      <c r="G64" t="s">
        <v>131</v>
      </c>
      <c r="H64">
        <v>216</v>
      </c>
      <c r="I64">
        <v>3</v>
      </c>
      <c r="J64">
        <v>4</v>
      </c>
      <c r="K64" s="1">
        <v>16000</v>
      </c>
      <c r="L64">
        <v>1</v>
      </c>
      <c r="M64">
        <f t="shared" si="3"/>
        <v>16000</v>
      </c>
      <c r="N64" t="s">
        <v>177</v>
      </c>
    </row>
    <row r="65" spans="1:14" x14ac:dyDescent="0.35">
      <c r="A65" t="s">
        <v>80</v>
      </c>
      <c r="B65" t="s">
        <v>8</v>
      </c>
      <c r="C65" t="s">
        <v>145</v>
      </c>
      <c r="D65" t="s">
        <v>9</v>
      </c>
      <c r="E65" t="s">
        <v>148</v>
      </c>
      <c r="F65" t="s">
        <v>11</v>
      </c>
      <c r="G65" t="s">
        <v>103</v>
      </c>
      <c r="H65">
        <v>335</v>
      </c>
      <c r="I65">
        <v>5</v>
      </c>
      <c r="J65">
        <v>2</v>
      </c>
      <c r="K65" s="1">
        <v>27000</v>
      </c>
      <c r="L65">
        <v>1</v>
      </c>
      <c r="M65">
        <f t="shared" si="3"/>
        <v>27000</v>
      </c>
      <c r="N65" t="s">
        <v>176</v>
      </c>
    </row>
    <row r="66" spans="1:14" x14ac:dyDescent="0.35">
      <c r="A66" t="s">
        <v>81</v>
      </c>
      <c r="B66" t="s">
        <v>8</v>
      </c>
      <c r="C66" t="s">
        <v>145</v>
      </c>
      <c r="D66" t="s">
        <v>9</v>
      </c>
      <c r="E66" t="s">
        <v>149</v>
      </c>
      <c r="F66" t="s">
        <v>97</v>
      </c>
      <c r="G66" t="s">
        <v>109</v>
      </c>
      <c r="H66">
        <v>2400</v>
      </c>
      <c r="I66">
        <v>3</v>
      </c>
      <c r="J66">
        <v>2</v>
      </c>
      <c r="K66" s="1">
        <v>15109</v>
      </c>
      <c r="L66">
        <v>1</v>
      </c>
      <c r="M66">
        <f t="shared" si="3"/>
        <v>15109</v>
      </c>
      <c r="N66" t="s">
        <v>177</v>
      </c>
    </row>
    <row r="67" spans="1:14" x14ac:dyDescent="0.35">
      <c r="A67" t="s">
        <v>82</v>
      </c>
      <c r="B67" t="s">
        <v>8</v>
      </c>
      <c r="C67" t="s">
        <v>145</v>
      </c>
      <c r="D67" t="s">
        <v>9</v>
      </c>
      <c r="E67" t="s">
        <v>150</v>
      </c>
      <c r="F67" t="s">
        <v>11</v>
      </c>
      <c r="G67" t="s">
        <v>103</v>
      </c>
      <c r="H67">
        <v>2100</v>
      </c>
      <c r="I67">
        <v>3</v>
      </c>
      <c r="J67">
        <v>2</v>
      </c>
      <c r="K67" s="1">
        <v>28364</v>
      </c>
      <c r="L67">
        <v>1</v>
      </c>
      <c r="M67">
        <f t="shared" si="3"/>
        <v>28364</v>
      </c>
      <c r="N67" t="s">
        <v>176</v>
      </c>
    </row>
    <row r="68" spans="1:14" x14ac:dyDescent="0.35">
      <c r="A68" t="s">
        <v>83</v>
      </c>
      <c r="B68" t="s">
        <v>8</v>
      </c>
      <c r="C68" t="s">
        <v>145</v>
      </c>
      <c r="D68" t="s">
        <v>9</v>
      </c>
      <c r="E68" t="s">
        <v>151</v>
      </c>
      <c r="F68" t="s">
        <v>96</v>
      </c>
      <c r="G68" t="s">
        <v>116</v>
      </c>
      <c r="H68">
        <v>53</v>
      </c>
      <c r="I68">
        <v>2</v>
      </c>
      <c r="J68">
        <v>2</v>
      </c>
      <c r="K68" s="1">
        <v>5574</v>
      </c>
      <c r="L68">
        <v>1</v>
      </c>
      <c r="M68">
        <f t="shared" si="3"/>
        <v>5574</v>
      </c>
      <c r="N68" t="s">
        <v>174</v>
      </c>
    </row>
    <row r="69" spans="1:14" x14ac:dyDescent="0.35">
      <c r="A69" t="s">
        <v>84</v>
      </c>
      <c r="B69" t="s">
        <v>8</v>
      </c>
      <c r="C69" t="s">
        <v>145</v>
      </c>
      <c r="D69" t="s">
        <v>9</v>
      </c>
      <c r="E69" t="s">
        <v>150</v>
      </c>
      <c r="F69" t="s">
        <v>11</v>
      </c>
      <c r="G69" t="s">
        <v>103</v>
      </c>
      <c r="H69">
        <v>2100</v>
      </c>
      <c r="I69">
        <v>3</v>
      </c>
      <c r="J69">
        <v>4</v>
      </c>
      <c r="K69" s="1">
        <v>64039</v>
      </c>
      <c r="L69">
        <v>1</v>
      </c>
      <c r="M69">
        <f t="shared" si="3"/>
        <v>64039</v>
      </c>
      <c r="N69" t="s">
        <v>176</v>
      </c>
    </row>
    <row r="70" spans="1:14" x14ac:dyDescent="0.35">
      <c r="A70" t="s">
        <v>85</v>
      </c>
      <c r="B70" t="s">
        <v>8</v>
      </c>
      <c r="C70" t="s">
        <v>13</v>
      </c>
      <c r="D70" t="s">
        <v>9</v>
      </c>
      <c r="E70" t="s">
        <v>160</v>
      </c>
      <c r="F70" t="s">
        <v>96</v>
      </c>
      <c r="G70" t="s">
        <v>107</v>
      </c>
      <c r="H70">
        <v>51</v>
      </c>
      <c r="I70">
        <v>3</v>
      </c>
      <c r="J70">
        <v>4</v>
      </c>
      <c r="K70" s="1">
        <v>17160</v>
      </c>
      <c r="L70">
        <v>1</v>
      </c>
      <c r="M70">
        <f t="shared" si="3"/>
        <v>17160</v>
      </c>
      <c r="N70" t="s">
        <v>180</v>
      </c>
    </row>
    <row r="71" spans="1:14" x14ac:dyDescent="0.35">
      <c r="A71" t="s">
        <v>86</v>
      </c>
      <c r="B71" t="s">
        <v>8</v>
      </c>
      <c r="C71" t="s">
        <v>13</v>
      </c>
      <c r="D71" t="s">
        <v>9</v>
      </c>
      <c r="E71" t="s">
        <v>161</v>
      </c>
      <c r="F71" t="s">
        <v>97</v>
      </c>
      <c r="G71" t="s">
        <v>105</v>
      </c>
      <c r="H71">
        <v>62</v>
      </c>
      <c r="I71">
        <v>3</v>
      </c>
      <c r="J71">
        <v>4</v>
      </c>
      <c r="K71" s="1">
        <v>42206</v>
      </c>
      <c r="L71">
        <v>1</v>
      </c>
      <c r="M71">
        <f t="shared" si="3"/>
        <v>42206</v>
      </c>
      <c r="N71" t="s">
        <v>177</v>
      </c>
    </row>
    <row r="72" spans="1:14" x14ac:dyDescent="0.35">
      <c r="A72" t="s">
        <v>87</v>
      </c>
      <c r="B72" t="s">
        <v>8</v>
      </c>
      <c r="C72" t="s">
        <v>13</v>
      </c>
      <c r="D72" t="s">
        <v>9</v>
      </c>
      <c r="E72" t="s">
        <v>162</v>
      </c>
      <c r="F72" t="s">
        <v>11</v>
      </c>
      <c r="G72" t="s">
        <v>105</v>
      </c>
      <c r="H72">
        <v>42</v>
      </c>
      <c r="I72">
        <v>5</v>
      </c>
      <c r="J72">
        <v>4</v>
      </c>
      <c r="K72" s="1">
        <v>114400</v>
      </c>
      <c r="L72">
        <v>1</v>
      </c>
      <c r="M72">
        <f t="shared" si="3"/>
        <v>114400</v>
      </c>
      <c r="N72" t="s">
        <v>177</v>
      </c>
    </row>
    <row r="73" spans="1:14" x14ac:dyDescent="0.35">
      <c r="A73" t="s">
        <v>88</v>
      </c>
      <c r="B73" t="s">
        <v>8</v>
      </c>
      <c r="C73" t="s">
        <v>13</v>
      </c>
      <c r="D73" t="s">
        <v>9</v>
      </c>
      <c r="E73" t="s">
        <v>163</v>
      </c>
      <c r="F73" t="s">
        <v>96</v>
      </c>
      <c r="G73" t="s">
        <v>107</v>
      </c>
      <c r="H73">
        <v>77</v>
      </c>
      <c r="I73">
        <v>3</v>
      </c>
      <c r="J73">
        <v>2</v>
      </c>
      <c r="K73" s="1">
        <v>2475</v>
      </c>
      <c r="L73">
        <v>1</v>
      </c>
      <c r="M73">
        <f t="shared" si="3"/>
        <v>2475</v>
      </c>
      <c r="N73" t="s">
        <v>174</v>
      </c>
    </row>
    <row r="74" spans="1:14" x14ac:dyDescent="0.35">
      <c r="A74" t="s">
        <v>89</v>
      </c>
      <c r="B74" t="s">
        <v>8</v>
      </c>
      <c r="C74" t="s">
        <v>13</v>
      </c>
      <c r="D74" t="s">
        <v>9</v>
      </c>
      <c r="E74" t="s">
        <v>121</v>
      </c>
      <c r="F74" t="s">
        <v>11</v>
      </c>
      <c r="G74" t="s">
        <v>105</v>
      </c>
      <c r="H74">
        <v>7900</v>
      </c>
      <c r="I74">
        <v>5</v>
      </c>
      <c r="J74">
        <v>2</v>
      </c>
      <c r="K74" s="1">
        <v>31631</v>
      </c>
      <c r="L74">
        <v>1</v>
      </c>
      <c r="M74">
        <f t="shared" si="3"/>
        <v>31631</v>
      </c>
      <c r="N74" t="s">
        <v>175</v>
      </c>
    </row>
    <row r="75" spans="1:14" x14ac:dyDescent="0.35">
      <c r="A75" t="s">
        <v>90</v>
      </c>
      <c r="B75" t="s">
        <v>8</v>
      </c>
      <c r="C75" t="s">
        <v>13</v>
      </c>
      <c r="D75" t="s">
        <v>9</v>
      </c>
      <c r="E75" t="s">
        <v>161</v>
      </c>
      <c r="F75" t="s">
        <v>97</v>
      </c>
      <c r="G75" t="s">
        <v>105</v>
      </c>
      <c r="H75">
        <v>62</v>
      </c>
      <c r="I75">
        <v>3</v>
      </c>
      <c r="J75">
        <v>2</v>
      </c>
      <c r="K75" s="1">
        <v>21091</v>
      </c>
      <c r="L75">
        <v>1</v>
      </c>
      <c r="M75">
        <f t="shared" si="3"/>
        <v>21091</v>
      </c>
      <c r="N75" t="s">
        <v>177</v>
      </c>
    </row>
    <row r="76" spans="1:14" x14ac:dyDescent="0.35">
      <c r="A76" t="s">
        <v>91</v>
      </c>
      <c r="B76" t="s">
        <v>8</v>
      </c>
      <c r="C76" t="s">
        <v>13</v>
      </c>
      <c r="D76" t="s">
        <v>9</v>
      </c>
      <c r="E76" t="s">
        <v>164</v>
      </c>
      <c r="F76" t="s">
        <v>97</v>
      </c>
      <c r="G76" t="s">
        <v>131</v>
      </c>
      <c r="H76">
        <v>641</v>
      </c>
      <c r="I76">
        <v>3</v>
      </c>
      <c r="J76">
        <v>2</v>
      </c>
      <c r="K76" s="1">
        <v>21120</v>
      </c>
      <c r="L76">
        <v>1</v>
      </c>
      <c r="M76">
        <f t="shared" si="3"/>
        <v>21120</v>
      </c>
      <c r="N76" t="s">
        <v>177</v>
      </c>
    </row>
    <row r="77" spans="1:14" x14ac:dyDescent="0.35">
      <c r="A77" t="s">
        <v>92</v>
      </c>
      <c r="B77" t="s">
        <v>8</v>
      </c>
      <c r="C77" t="s">
        <v>13</v>
      </c>
      <c r="D77" t="s">
        <v>9</v>
      </c>
      <c r="E77" t="s">
        <v>165</v>
      </c>
      <c r="F77" t="s">
        <v>97</v>
      </c>
      <c r="G77" t="s">
        <v>159</v>
      </c>
      <c r="H77">
        <v>175</v>
      </c>
      <c r="I77">
        <v>3</v>
      </c>
      <c r="J77">
        <v>2</v>
      </c>
      <c r="K77" s="1">
        <v>16500</v>
      </c>
      <c r="L77">
        <v>1</v>
      </c>
      <c r="M77">
        <f t="shared" ref="M77:M92" si="4">L77*K77</f>
        <v>16500</v>
      </c>
      <c r="N77" t="s">
        <v>177</v>
      </c>
    </row>
    <row r="78" spans="1:14" x14ac:dyDescent="0.35">
      <c r="A78" t="s">
        <v>182</v>
      </c>
      <c r="B78" t="s">
        <v>8</v>
      </c>
      <c r="C78" t="s">
        <v>192</v>
      </c>
      <c r="D78" t="s">
        <v>9</v>
      </c>
      <c r="E78" t="s">
        <v>181</v>
      </c>
      <c r="F78" t="s">
        <v>11</v>
      </c>
      <c r="G78" t="s">
        <v>105</v>
      </c>
      <c r="H78">
        <v>1950</v>
      </c>
      <c r="I78">
        <v>4</v>
      </c>
      <c r="J78">
        <v>2</v>
      </c>
      <c r="K78" s="1">
        <v>42804</v>
      </c>
      <c r="L78">
        <v>1</v>
      </c>
      <c r="M78">
        <f t="shared" si="4"/>
        <v>42804</v>
      </c>
      <c r="N78" t="s">
        <v>176</v>
      </c>
    </row>
    <row r="79" spans="1:14" x14ac:dyDescent="0.35">
      <c r="A79" t="s">
        <v>183</v>
      </c>
      <c r="B79" t="s">
        <v>8</v>
      </c>
      <c r="C79" t="s">
        <v>192</v>
      </c>
      <c r="D79" t="s">
        <v>9</v>
      </c>
      <c r="E79" t="s">
        <v>194</v>
      </c>
      <c r="F79" t="s">
        <v>96</v>
      </c>
      <c r="G79" t="s">
        <v>103</v>
      </c>
      <c r="H79">
        <v>100</v>
      </c>
      <c r="I79">
        <v>3</v>
      </c>
      <c r="J79">
        <v>2</v>
      </c>
      <c r="K79" s="1">
        <v>6472</v>
      </c>
      <c r="L79">
        <v>1</v>
      </c>
      <c r="M79">
        <f t="shared" si="4"/>
        <v>6472</v>
      </c>
      <c r="N79" t="s">
        <v>180</v>
      </c>
    </row>
    <row r="80" spans="1:14" x14ac:dyDescent="0.35">
      <c r="A80" t="s">
        <v>184</v>
      </c>
      <c r="B80" t="s">
        <v>8</v>
      </c>
      <c r="C80" t="s">
        <v>192</v>
      </c>
      <c r="D80" t="s">
        <v>9</v>
      </c>
      <c r="E80" t="s">
        <v>195</v>
      </c>
      <c r="F80" t="s">
        <v>11</v>
      </c>
      <c r="G80" t="s">
        <v>159</v>
      </c>
      <c r="H80">
        <v>3700</v>
      </c>
      <c r="I80">
        <v>3</v>
      </c>
      <c r="J80">
        <v>2</v>
      </c>
      <c r="K80" s="1">
        <v>29077</v>
      </c>
      <c r="L80">
        <v>1</v>
      </c>
      <c r="M80">
        <f t="shared" si="4"/>
        <v>29077</v>
      </c>
      <c r="N80" t="s">
        <v>176</v>
      </c>
    </row>
    <row r="81" spans="1:14" x14ac:dyDescent="0.35">
      <c r="A81" t="s">
        <v>185</v>
      </c>
      <c r="B81" t="s">
        <v>8</v>
      </c>
      <c r="C81" t="s">
        <v>192</v>
      </c>
      <c r="D81" t="s">
        <v>9</v>
      </c>
      <c r="E81" t="s">
        <v>196</v>
      </c>
      <c r="F81" t="s">
        <v>97</v>
      </c>
      <c r="G81" t="s">
        <v>105</v>
      </c>
      <c r="H81">
        <v>315</v>
      </c>
      <c r="I81">
        <v>3</v>
      </c>
      <c r="J81">
        <v>2</v>
      </c>
      <c r="K81" s="1">
        <v>13835</v>
      </c>
      <c r="L81">
        <v>1</v>
      </c>
      <c r="M81">
        <f t="shared" si="4"/>
        <v>13835</v>
      </c>
      <c r="N81" t="s">
        <v>177</v>
      </c>
    </row>
    <row r="82" spans="1:14" x14ac:dyDescent="0.35">
      <c r="A82" t="s">
        <v>186</v>
      </c>
      <c r="B82" t="s">
        <v>8</v>
      </c>
      <c r="C82" t="s">
        <v>192</v>
      </c>
      <c r="D82" t="s">
        <v>9</v>
      </c>
      <c r="E82" t="s">
        <v>197</v>
      </c>
      <c r="F82" t="s">
        <v>96</v>
      </c>
      <c r="G82" t="s">
        <v>105</v>
      </c>
      <c r="H82">
        <v>280</v>
      </c>
      <c r="I82">
        <v>3</v>
      </c>
      <c r="J82">
        <v>4</v>
      </c>
      <c r="K82" s="1">
        <v>12000</v>
      </c>
      <c r="L82">
        <v>1</v>
      </c>
      <c r="M82">
        <f t="shared" si="4"/>
        <v>12000</v>
      </c>
      <c r="N82" t="s">
        <v>176</v>
      </c>
    </row>
    <row r="83" spans="1:14" x14ac:dyDescent="0.35">
      <c r="A83" t="s">
        <v>187</v>
      </c>
      <c r="B83" t="s">
        <v>8</v>
      </c>
      <c r="C83" t="s">
        <v>192</v>
      </c>
      <c r="D83" t="s">
        <v>9</v>
      </c>
      <c r="E83" t="s">
        <v>195</v>
      </c>
      <c r="F83" t="s">
        <v>11</v>
      </c>
      <c r="G83" t="s">
        <v>159</v>
      </c>
      <c r="H83">
        <v>3700</v>
      </c>
      <c r="I83">
        <v>3</v>
      </c>
      <c r="J83">
        <v>4</v>
      </c>
      <c r="K83" s="1">
        <v>35721</v>
      </c>
      <c r="L83">
        <v>1</v>
      </c>
      <c r="M83">
        <f t="shared" si="4"/>
        <v>35721</v>
      </c>
      <c r="N83" t="s">
        <v>176</v>
      </c>
    </row>
    <row r="84" spans="1:14" x14ac:dyDescent="0.35">
      <c r="A84" t="s">
        <v>188</v>
      </c>
      <c r="B84" t="s">
        <v>8</v>
      </c>
      <c r="C84" t="s">
        <v>192</v>
      </c>
      <c r="D84" t="s">
        <v>9</v>
      </c>
      <c r="E84" t="s">
        <v>198</v>
      </c>
      <c r="F84" t="s">
        <v>97</v>
      </c>
      <c r="G84" t="s">
        <v>159</v>
      </c>
      <c r="H84">
        <v>12</v>
      </c>
      <c r="I84">
        <v>3</v>
      </c>
      <c r="J84">
        <v>4</v>
      </c>
      <c r="K84" s="1">
        <v>26100</v>
      </c>
      <c r="L84">
        <v>1</v>
      </c>
      <c r="M84">
        <f t="shared" si="4"/>
        <v>26100</v>
      </c>
      <c r="N84" t="s">
        <v>176</v>
      </c>
    </row>
    <row r="85" spans="1:14" x14ac:dyDescent="0.35">
      <c r="A85" t="s">
        <v>188</v>
      </c>
      <c r="B85" t="s">
        <v>8</v>
      </c>
      <c r="C85" t="s">
        <v>193</v>
      </c>
      <c r="D85" t="s">
        <v>9</v>
      </c>
      <c r="E85" t="s">
        <v>202</v>
      </c>
      <c r="F85" t="s">
        <v>96</v>
      </c>
      <c r="G85" t="s">
        <v>105</v>
      </c>
      <c r="H85">
        <v>229</v>
      </c>
      <c r="I85">
        <v>3</v>
      </c>
      <c r="J85">
        <v>4</v>
      </c>
      <c r="K85" s="1">
        <v>20821</v>
      </c>
      <c r="L85">
        <v>1</v>
      </c>
      <c r="M85">
        <f t="shared" si="4"/>
        <v>20821</v>
      </c>
      <c r="N85" t="s">
        <v>180</v>
      </c>
    </row>
    <row r="86" spans="1:14" x14ac:dyDescent="0.35">
      <c r="A86" t="s">
        <v>189</v>
      </c>
      <c r="B86" t="s">
        <v>8</v>
      </c>
      <c r="C86" t="s">
        <v>193</v>
      </c>
      <c r="D86" t="s">
        <v>9</v>
      </c>
      <c r="E86" t="s">
        <v>203</v>
      </c>
      <c r="F86" t="s">
        <v>11</v>
      </c>
      <c r="G86" t="s">
        <v>107</v>
      </c>
      <c r="H86">
        <v>192</v>
      </c>
      <c r="I86">
        <v>4</v>
      </c>
      <c r="J86">
        <v>4</v>
      </c>
      <c r="K86" s="1">
        <v>90000</v>
      </c>
      <c r="L86">
        <v>1</v>
      </c>
      <c r="M86">
        <f t="shared" si="4"/>
        <v>90000</v>
      </c>
      <c r="N86" t="s">
        <v>180</v>
      </c>
    </row>
    <row r="87" spans="1:14" x14ac:dyDescent="0.35">
      <c r="A87" t="s">
        <v>190</v>
      </c>
      <c r="B87" t="s">
        <v>8</v>
      </c>
      <c r="C87" t="s">
        <v>193</v>
      </c>
      <c r="D87" t="s">
        <v>9</v>
      </c>
      <c r="E87" t="s">
        <v>204</v>
      </c>
      <c r="F87" t="s">
        <v>96</v>
      </c>
      <c r="G87" t="s">
        <v>159</v>
      </c>
      <c r="H87">
        <v>126</v>
      </c>
      <c r="I87">
        <v>3</v>
      </c>
      <c r="J87">
        <v>4</v>
      </c>
      <c r="K87" s="1">
        <v>8800</v>
      </c>
      <c r="L87">
        <v>1</v>
      </c>
      <c r="M87">
        <f t="shared" si="4"/>
        <v>8800</v>
      </c>
      <c r="N87" t="s">
        <v>180</v>
      </c>
    </row>
    <row r="88" spans="1:14" x14ac:dyDescent="0.35">
      <c r="A88" t="s">
        <v>191</v>
      </c>
      <c r="B88" t="s">
        <v>8</v>
      </c>
      <c r="C88" t="s">
        <v>193</v>
      </c>
      <c r="D88" t="s">
        <v>9</v>
      </c>
      <c r="E88" t="s">
        <v>205</v>
      </c>
      <c r="F88" t="s">
        <v>97</v>
      </c>
      <c r="G88" t="s">
        <v>159</v>
      </c>
      <c r="H88">
        <v>188</v>
      </c>
      <c r="I88">
        <v>4</v>
      </c>
      <c r="J88">
        <v>4</v>
      </c>
      <c r="K88" s="1">
        <v>34000</v>
      </c>
      <c r="L88">
        <v>1</v>
      </c>
      <c r="M88">
        <f t="shared" si="4"/>
        <v>34000</v>
      </c>
      <c r="N88" t="s">
        <v>180</v>
      </c>
    </row>
    <row r="89" spans="1:14" x14ac:dyDescent="0.35">
      <c r="A89" t="s">
        <v>199</v>
      </c>
      <c r="B89" t="s">
        <v>8</v>
      </c>
      <c r="C89" t="s">
        <v>193</v>
      </c>
      <c r="D89" t="s">
        <v>9</v>
      </c>
      <c r="E89" t="s">
        <v>206</v>
      </c>
      <c r="F89" t="s">
        <v>97</v>
      </c>
      <c r="G89" t="s">
        <v>113</v>
      </c>
      <c r="H89">
        <v>511</v>
      </c>
      <c r="I89">
        <v>4</v>
      </c>
      <c r="J89">
        <v>2</v>
      </c>
      <c r="K89" s="1">
        <v>14850</v>
      </c>
      <c r="L89">
        <v>1</v>
      </c>
      <c r="M89">
        <f t="shared" si="4"/>
        <v>14850</v>
      </c>
      <c r="N89" t="s">
        <v>180</v>
      </c>
    </row>
    <row r="90" spans="1:14" x14ac:dyDescent="0.35">
      <c r="A90" t="s">
        <v>200</v>
      </c>
      <c r="B90" t="s">
        <v>8</v>
      </c>
      <c r="C90" t="s">
        <v>193</v>
      </c>
      <c r="D90" t="s">
        <v>9</v>
      </c>
      <c r="E90" t="s">
        <v>207</v>
      </c>
      <c r="F90" t="s">
        <v>96</v>
      </c>
      <c r="G90" t="s">
        <v>159</v>
      </c>
      <c r="H90">
        <v>50</v>
      </c>
      <c r="I90">
        <v>2</v>
      </c>
      <c r="J90">
        <v>2</v>
      </c>
      <c r="K90" s="1">
        <v>2767</v>
      </c>
      <c r="L90">
        <v>1</v>
      </c>
      <c r="M90">
        <f t="shared" si="4"/>
        <v>2767</v>
      </c>
      <c r="N90" t="s">
        <v>174</v>
      </c>
    </row>
    <row r="91" spans="1:14" x14ac:dyDescent="0.35">
      <c r="A91" t="s">
        <v>201</v>
      </c>
      <c r="B91" t="s">
        <v>8</v>
      </c>
      <c r="C91" t="s">
        <v>193</v>
      </c>
      <c r="D91" t="s">
        <v>9</v>
      </c>
      <c r="E91" t="s">
        <v>208</v>
      </c>
      <c r="F91" t="s">
        <v>11</v>
      </c>
      <c r="G91" t="s">
        <v>159</v>
      </c>
      <c r="H91">
        <v>61</v>
      </c>
      <c r="I91">
        <v>3</v>
      </c>
      <c r="J91">
        <v>2</v>
      </c>
      <c r="K91" s="1">
        <v>12000</v>
      </c>
      <c r="L91">
        <v>1</v>
      </c>
      <c r="M91">
        <f t="shared" si="4"/>
        <v>12000</v>
      </c>
      <c r="N91" t="s">
        <v>180</v>
      </c>
    </row>
    <row r="92" spans="1:14" x14ac:dyDescent="0.35">
      <c r="A92" t="s">
        <v>209</v>
      </c>
      <c r="B92" t="s">
        <v>8</v>
      </c>
      <c r="C92" t="s">
        <v>193</v>
      </c>
      <c r="D92" t="s">
        <v>9</v>
      </c>
      <c r="E92" t="s">
        <v>205</v>
      </c>
      <c r="F92" t="s">
        <v>97</v>
      </c>
      <c r="G92" t="s">
        <v>159</v>
      </c>
      <c r="H92">
        <v>188</v>
      </c>
      <c r="I92">
        <v>4</v>
      </c>
      <c r="J92">
        <v>2</v>
      </c>
      <c r="K92" s="1">
        <v>17000</v>
      </c>
      <c r="L92">
        <v>1</v>
      </c>
      <c r="M92">
        <f t="shared" si="4"/>
        <v>17000</v>
      </c>
      <c r="N92" t="s">
        <v>180</v>
      </c>
    </row>
  </sheetData>
  <hyperlinks>
    <hyperlink ref="E20" r:id="rId1" display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xr:uid="{EF51C9D9-DE39-4A0F-AB1A-B625381D8C63}"/>
    <hyperlink ref="E21" r:id="rId2" display="https://www.booking.com/hotel/pk/the-townhouse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dest_id=-2762812&amp;dest_type=city&amp;group_adults=2&amp;req_adults=2&amp;no_rooms=1&amp;group_children=0&amp;req_children=0&amp;hpos=1&amp;hapos=1&amp;sr_order=price_from_high_to_low&amp;nflt=ht_id%3D204&amp;srpvid=81fc0f8050130733&amp;srepoch=1789179555&amp;all_sr_blocks=1244029401_425236148_2_1_0&amp;highlighted_blocks=1244029401_425236148_2_1_0&amp;matching_block_id=1244029401_425236148_2_1_0&amp;sr_pri_blocks=1244029401_425236148_2_1_0__7500000&amp;from=searchresults" xr:uid="{6E1CF798-B6C4-465C-9DC6-99453F07C4A1}"/>
    <hyperlink ref="E26" r:id="rId3" display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xr:uid="{8A6C344F-1EA7-4E86-99E2-84B5DC3A6536}"/>
    <hyperlink ref="E27" r:id="rId4" display="https://www.booking.com/hotel/pk/gold-pine-mall-road.html?label=gog235jc-10CAMYAii1AUIJaXNsYW1hYmFkSDNYA2i1AYgBAZgBM7gBF8gBDNgBA-gBAfgBAYgCAagCAbgCw9qS1QbAAgHSAiQ4NzhmOTQ3ZS1jZjI4LTRlYTYtYmU1Ny1lMWMyODI3NTc3OTfYAgHgAgE&amp;sid=01e28d2aae0fc2133bc29d1755eed9a3&amp;aid=356980&amp;ucfs=1&amp;arphpl=1&amp;checkin=2026-09-13&amp;checkout=2026-09-14&amp;group_adults=2&amp;req_adults=2&amp;no_rooms=1&amp;group_children=0&amp;req_children=0&amp;hpos=3&amp;hapos=3&amp;sr_order=popularity&amp;srpvid=1a21165b37df02a9&amp;srepoch=1789182683&amp;all_sr_blocks=1571577601_428228128_2_1_0&amp;highlighted_blocks=1571577601_428228128_2_1_0&amp;matching_block_id=1571577601_428228128_2_1_0&amp;sr_pri_blocks=1571577601_428228128_2_1_0__870000&amp;from=searchresults" xr:uid="{23D9AC25-F4A3-412E-9482-664A18A5F235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Tasneem Meo</dc:creator>
  <cp:lastModifiedBy>Tasneem Meo</cp:lastModifiedBy>
  <dcterms:created xsi:type="dcterms:W3CDTF">2026-09-11T16:17:02Z</dcterms:created>
  <dcterms:modified xsi:type="dcterms:W3CDTF">2026-09-12T15:12:28Z</dcterms:modified>
</cp:coreProperties>
</file>